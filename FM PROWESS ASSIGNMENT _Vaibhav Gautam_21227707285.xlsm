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dharth\Desktop\"/>
    </mc:Choice>
  </mc:AlternateContent>
  <xr:revisionPtr revIDLastSave="0" documentId="13_ncr:1_{547C1530-D7DB-44DC-A752-6A58347420A6}" xr6:coauthVersionLast="47" xr6:coauthVersionMax="47" xr10:uidLastSave="{00000000-0000-0000-0000-000000000000}"/>
  <bookViews>
    <workbookView xWindow="-108" yWindow="-108" windowWidth="23256" windowHeight="12576" activeTab="6" xr2:uid="{C2DEF7A0-F411-47B8-A97B-880BB93276CF}"/>
  </bookViews>
  <sheets>
    <sheet name="BS" sheetId="1" r:id="rId1"/>
    <sheet name="P&amp;L" sheetId="2" r:id="rId2"/>
    <sheet name="Summary" sheetId="3" r:id="rId3"/>
    <sheet name="Horizontal(trend) Analysis" sheetId="4" r:id="rId4"/>
    <sheet name="BS Vertical Analysis" sheetId="5" r:id="rId5"/>
    <sheet name="P&amp;L Vertical Analysis" sheetId="6" r:id="rId6"/>
    <sheet name="Ratio Analysis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7" l="1"/>
  <c r="J20" i="7"/>
  <c r="G20" i="7"/>
  <c r="I20" i="7"/>
  <c r="F20" i="7"/>
  <c r="I19" i="7"/>
  <c r="H19" i="7"/>
  <c r="J19" i="7"/>
  <c r="G19" i="7"/>
  <c r="F19" i="7"/>
  <c r="H40" i="6" l="1"/>
  <c r="H41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8" i="6"/>
  <c r="H59" i="6"/>
  <c r="H60" i="6"/>
  <c r="H61" i="6"/>
  <c r="H63" i="6"/>
  <c r="G40" i="6"/>
  <c r="G41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8" i="6"/>
  <c r="G59" i="6"/>
  <c r="G60" i="6"/>
  <c r="G61" i="6"/>
  <c r="G63" i="6"/>
  <c r="F40" i="6"/>
  <c r="F41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8" i="6"/>
  <c r="F59" i="6"/>
  <c r="F60" i="6"/>
  <c r="F61" i="6"/>
  <c r="F63" i="6"/>
  <c r="E40" i="6"/>
  <c r="E41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8" i="6"/>
  <c r="E59" i="6"/>
  <c r="E60" i="6"/>
  <c r="E61" i="6"/>
  <c r="E63" i="6"/>
  <c r="E39" i="6"/>
  <c r="F39" i="6"/>
  <c r="G39" i="6"/>
  <c r="H39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8" i="6"/>
  <c r="D59" i="6"/>
  <c r="D60" i="6"/>
  <c r="D61" i="6"/>
  <c r="D63" i="6"/>
  <c r="D39" i="6"/>
  <c r="D40" i="6"/>
  <c r="D41" i="6"/>
  <c r="H28" i="6"/>
  <c r="G28" i="6"/>
  <c r="G26" i="6" s="1"/>
  <c r="F28" i="6"/>
  <c r="E28" i="6"/>
  <c r="D28" i="6"/>
  <c r="H26" i="6"/>
  <c r="F26" i="6"/>
  <c r="E26" i="6"/>
  <c r="D26" i="6"/>
  <c r="H7" i="6"/>
  <c r="G7" i="6"/>
  <c r="F7" i="6"/>
  <c r="E7" i="6"/>
  <c r="D7" i="6"/>
  <c r="H71" i="5"/>
  <c r="H72" i="5"/>
  <c r="H74" i="5"/>
  <c r="H75" i="5"/>
  <c r="H76" i="5"/>
  <c r="H77" i="5"/>
  <c r="H78" i="5"/>
  <c r="H81" i="5"/>
  <c r="H82" i="5"/>
  <c r="H83" i="5"/>
  <c r="G71" i="5"/>
  <c r="G72" i="5"/>
  <c r="G74" i="5"/>
  <c r="G75" i="5"/>
  <c r="G76" i="5"/>
  <c r="G77" i="5"/>
  <c r="G78" i="5"/>
  <c r="G81" i="5"/>
  <c r="G82" i="5"/>
  <c r="G83" i="5"/>
  <c r="F71" i="5"/>
  <c r="F72" i="5"/>
  <c r="F74" i="5"/>
  <c r="F75" i="5"/>
  <c r="F76" i="5"/>
  <c r="F77" i="5"/>
  <c r="F78" i="5"/>
  <c r="F81" i="5"/>
  <c r="F82" i="5"/>
  <c r="F83" i="5"/>
  <c r="E71" i="5"/>
  <c r="E72" i="5"/>
  <c r="E74" i="5"/>
  <c r="E75" i="5"/>
  <c r="E76" i="5"/>
  <c r="E77" i="5"/>
  <c r="E78" i="5"/>
  <c r="E81" i="5"/>
  <c r="E82" i="5"/>
  <c r="E83" i="5"/>
  <c r="E85" i="5"/>
  <c r="F85" i="5"/>
  <c r="G85" i="5"/>
  <c r="H85" i="5"/>
  <c r="D71" i="5"/>
  <c r="D72" i="5"/>
  <c r="D74" i="5"/>
  <c r="D75" i="5"/>
  <c r="D76" i="5"/>
  <c r="D77" i="5"/>
  <c r="D78" i="5"/>
  <c r="D81" i="5"/>
  <c r="D82" i="5"/>
  <c r="D83" i="5"/>
  <c r="D85" i="5"/>
  <c r="H51" i="5"/>
  <c r="H52" i="5"/>
  <c r="H53" i="5"/>
  <c r="H54" i="5"/>
  <c r="H55" i="5"/>
  <c r="H56" i="5"/>
  <c r="H59" i="5"/>
  <c r="H60" i="5"/>
  <c r="H61" i="5"/>
  <c r="H62" i="5"/>
  <c r="H63" i="5"/>
  <c r="H64" i="5"/>
  <c r="H65" i="5"/>
  <c r="G51" i="5"/>
  <c r="G52" i="5"/>
  <c r="G53" i="5"/>
  <c r="G54" i="5"/>
  <c r="G55" i="5"/>
  <c r="G56" i="5"/>
  <c r="G59" i="5"/>
  <c r="G60" i="5"/>
  <c r="G61" i="5"/>
  <c r="G62" i="5"/>
  <c r="G63" i="5"/>
  <c r="G64" i="5"/>
  <c r="G65" i="5"/>
  <c r="F51" i="5"/>
  <c r="F52" i="5"/>
  <c r="F53" i="5"/>
  <c r="F54" i="5"/>
  <c r="F55" i="5"/>
  <c r="F56" i="5"/>
  <c r="F59" i="5"/>
  <c r="F60" i="5"/>
  <c r="F61" i="5"/>
  <c r="F62" i="5"/>
  <c r="F63" i="5"/>
  <c r="F64" i="5"/>
  <c r="F65" i="5"/>
  <c r="E51" i="5"/>
  <c r="E52" i="5"/>
  <c r="E53" i="5"/>
  <c r="E54" i="5"/>
  <c r="E55" i="5"/>
  <c r="E56" i="5"/>
  <c r="E59" i="5"/>
  <c r="E60" i="5"/>
  <c r="E61" i="5"/>
  <c r="E62" i="5"/>
  <c r="E63" i="5"/>
  <c r="E64" i="5"/>
  <c r="E65" i="5"/>
  <c r="E67" i="5"/>
  <c r="F67" i="5"/>
  <c r="G67" i="5"/>
  <c r="H67" i="5"/>
  <c r="D51" i="5"/>
  <c r="D52" i="5"/>
  <c r="D53" i="5"/>
  <c r="D54" i="5"/>
  <c r="D55" i="5"/>
  <c r="D56" i="5"/>
  <c r="D59" i="5"/>
  <c r="D60" i="5"/>
  <c r="D61" i="5"/>
  <c r="D62" i="5"/>
  <c r="D63" i="5"/>
  <c r="D64" i="5"/>
  <c r="D65" i="5"/>
  <c r="D67" i="5"/>
  <c r="H39" i="5"/>
  <c r="G39" i="5"/>
  <c r="F39" i="5"/>
  <c r="E39" i="5"/>
  <c r="D39" i="5"/>
  <c r="G24" i="5"/>
  <c r="G31" i="5" s="1"/>
  <c r="G35" i="5" s="1"/>
  <c r="G42" i="5" s="1"/>
  <c r="H22" i="5"/>
  <c r="H24" i="5" s="1"/>
  <c r="H31" i="5" s="1"/>
  <c r="H35" i="5" s="1"/>
  <c r="H42" i="5" s="1"/>
  <c r="G22" i="5"/>
  <c r="F22" i="5"/>
  <c r="E22" i="5"/>
  <c r="D22" i="5"/>
  <c r="D24" i="5" s="1"/>
  <c r="D31" i="5" s="1"/>
  <c r="D35" i="5" s="1"/>
  <c r="D42" i="5" s="1"/>
  <c r="H13" i="5"/>
  <c r="G13" i="5"/>
  <c r="F13" i="5"/>
  <c r="F24" i="5" s="1"/>
  <c r="F31" i="5" s="1"/>
  <c r="F35" i="5" s="1"/>
  <c r="F42" i="5" s="1"/>
  <c r="E13" i="5"/>
  <c r="E24" i="5" s="1"/>
  <c r="E31" i="5" s="1"/>
  <c r="E35" i="5" s="1"/>
  <c r="E42" i="5" s="1"/>
  <c r="D13" i="5"/>
  <c r="C58" i="4"/>
  <c r="D58" i="4" s="1" a="1"/>
  <c r="F58" i="4" s="1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E34" i="4"/>
  <c r="F34" i="4"/>
  <c r="G34" i="4"/>
  <c r="H34" i="4"/>
  <c r="D34" i="4"/>
  <c r="H28" i="2"/>
  <c r="G28" i="2"/>
  <c r="F28" i="2"/>
  <c r="E28" i="2"/>
  <c r="D28" i="2"/>
  <c r="H26" i="2"/>
  <c r="G26" i="2"/>
  <c r="F26" i="2"/>
  <c r="E26" i="2"/>
  <c r="H7" i="2"/>
  <c r="G7" i="2"/>
  <c r="F7" i="2"/>
  <c r="E7" i="2"/>
  <c r="D7" i="2"/>
  <c r="H39" i="1"/>
  <c r="G39" i="1"/>
  <c r="F39" i="1"/>
  <c r="E39" i="1"/>
  <c r="D39" i="1"/>
  <c r="H22" i="1"/>
  <c r="G22" i="1"/>
  <c r="F22" i="1"/>
  <c r="F24" i="1" s="1"/>
  <c r="F31" i="1" s="1"/>
  <c r="F35" i="1" s="1"/>
  <c r="F42" i="1" s="1"/>
  <c r="E22" i="1"/>
  <c r="D22" i="1"/>
  <c r="H13" i="1"/>
  <c r="H24" i="1" s="1"/>
  <c r="H31" i="1" s="1"/>
  <c r="H35" i="1" s="1"/>
  <c r="H42" i="1" s="1"/>
  <c r="G13" i="1"/>
  <c r="G24" i="1" s="1"/>
  <c r="G31" i="1" s="1"/>
  <c r="G35" i="1" s="1"/>
  <c r="G42" i="1" s="1"/>
  <c r="F13" i="1"/>
  <c r="E13" i="1"/>
  <c r="E24" i="1" s="1"/>
  <c r="E31" i="1" s="1"/>
  <c r="E35" i="1" s="1"/>
  <c r="E42" i="1" s="1"/>
  <c r="D13" i="1"/>
  <c r="D24" i="1" s="1"/>
  <c r="D31" i="1" s="1"/>
  <c r="D35" i="1" s="1"/>
  <c r="D42" i="1" s="1"/>
  <c r="G14" i="7"/>
  <c r="H14" i="7"/>
  <c r="I14" i="7"/>
  <c r="J14" i="7"/>
  <c r="F14" i="7"/>
  <c r="G13" i="7"/>
  <c r="H13" i="7"/>
  <c r="I13" i="7"/>
  <c r="J13" i="7"/>
  <c r="F13" i="7"/>
  <c r="G8" i="7"/>
  <c r="H8" i="7"/>
  <c r="I8" i="7"/>
  <c r="J8" i="7"/>
  <c r="F8" i="7"/>
  <c r="G7" i="7"/>
  <c r="H7" i="7"/>
  <c r="I7" i="7"/>
  <c r="J7" i="7"/>
  <c r="F7" i="7"/>
  <c r="E58" i="4" l="1"/>
  <c r="D58" i="4"/>
  <c r="H58" i="4"/>
  <c r="G58" i="4"/>
</calcChain>
</file>

<file path=xl/sharedStrings.xml><?xml version="1.0" encoding="utf-8"?>
<sst xmlns="http://schemas.openxmlformats.org/spreadsheetml/2006/main" count="272" uniqueCount="86">
  <si>
    <t>ASSETS</t>
  </si>
  <si>
    <t>Non-Current Assets</t>
  </si>
  <si>
    <t xml:space="preserve">  Net property, plant and equipment</t>
  </si>
  <si>
    <t xml:space="preserve">  Capital Work in Progress</t>
  </si>
  <si>
    <t xml:space="preserve">  Long Term Investments</t>
  </si>
  <si>
    <t xml:space="preserve">  Deferred tax assets</t>
  </si>
  <si>
    <t xml:space="preserve">  Other long term assets</t>
  </si>
  <si>
    <t>Total Non-Current Assets</t>
  </si>
  <si>
    <t>Current Assets</t>
  </si>
  <si>
    <t xml:space="preserve">  Cash &amp; Bank balance</t>
  </si>
  <si>
    <t xml:space="preserve">  Short term loans &amp; advances</t>
  </si>
  <si>
    <t xml:space="preserve">  Short term inventories</t>
  </si>
  <si>
    <t xml:space="preserve">  Short term investments</t>
  </si>
  <si>
    <t xml:space="preserve">  Short term trade receivables &amp; bills receivable</t>
  </si>
  <si>
    <t xml:space="preserve">  Long term loans &amp; advances</t>
  </si>
  <si>
    <t>Total Current Assets</t>
  </si>
  <si>
    <t>TOTAL ASSETS</t>
  </si>
  <si>
    <t>LIABILITIES</t>
  </si>
  <si>
    <t>Equity Share Capital</t>
  </si>
  <si>
    <t>Reserves and funds</t>
  </si>
  <si>
    <t>Non-current Liabilities</t>
  </si>
  <si>
    <t xml:space="preserve">  Long term borrowings</t>
  </si>
  <si>
    <t xml:space="preserve">  Deferred tax liability</t>
  </si>
  <si>
    <t xml:space="preserve">  Other long term liabilities</t>
  </si>
  <si>
    <t xml:space="preserve">  Long term provisions</t>
  </si>
  <si>
    <t>Total Non-Current Liabilities</t>
  </si>
  <si>
    <t>Current liabilities</t>
  </si>
  <si>
    <t xml:space="preserve">  Short-term borrowings</t>
  </si>
  <si>
    <t xml:space="preserve">  Short term trade payables and acceptances</t>
  </si>
  <si>
    <t>Total Current Liabilities</t>
  </si>
  <si>
    <t>TOTAL LIABILITIES</t>
  </si>
  <si>
    <t>INCOME</t>
  </si>
  <si>
    <t xml:space="preserve">  Revenue from operations</t>
  </si>
  <si>
    <t xml:space="preserve">  Other Income</t>
  </si>
  <si>
    <t>Total income</t>
  </si>
  <si>
    <t>EXPENSES</t>
  </si>
  <si>
    <t xml:space="preserve">  Raw materials, stores &amp; spares</t>
  </si>
  <si>
    <t xml:space="preserve">  Purchase of finished goods</t>
  </si>
  <si>
    <t xml:space="preserve">  Power, fuel &amp; water charges</t>
  </si>
  <si>
    <t xml:space="preserve">  Compensation to employees</t>
  </si>
  <si>
    <t xml:space="preserve">  Indirect taxes</t>
  </si>
  <si>
    <t xml:space="preserve">  Royalties, technical know-how fees, etc</t>
  </si>
  <si>
    <t xml:space="preserve">  Repairs &amp; maintenance</t>
  </si>
  <si>
    <t xml:space="preserve">  Outsourced professional jobs</t>
  </si>
  <si>
    <t xml:space="preserve">  Travel expenses</t>
  </si>
  <si>
    <t xml:space="preserve">  Miscellaneous expenditure</t>
  </si>
  <si>
    <t xml:space="preserve">  Financial services expenses</t>
  </si>
  <si>
    <t xml:space="preserve">  Depreciation </t>
  </si>
  <si>
    <t>Total expenses</t>
  </si>
  <si>
    <t>Profit Before Tax and Extraordinary Items</t>
  </si>
  <si>
    <t>Prior period and extra-ordinary expenses</t>
  </si>
  <si>
    <t xml:space="preserve">Profit Before Tax </t>
  </si>
  <si>
    <t>Provision for direct tax</t>
  </si>
  <si>
    <t>PROFIT AFTER TAX</t>
  </si>
  <si>
    <t>Particulars</t>
  </si>
  <si>
    <t>Long term borrowings</t>
  </si>
  <si>
    <t>Short-term borrowings</t>
  </si>
  <si>
    <t>Total Liabilities</t>
  </si>
  <si>
    <t>Long Term Investments</t>
  </si>
  <si>
    <t>Short term investments</t>
  </si>
  <si>
    <t>Capital Work in Progress</t>
  </si>
  <si>
    <t>Deferred tax assets</t>
  </si>
  <si>
    <t>Cash &amp; Bank balance</t>
  </si>
  <si>
    <t>Short term inventories</t>
  </si>
  <si>
    <t>Short term trade receivables &amp; bills receivable</t>
  </si>
  <si>
    <t>Long term loans &amp; advances</t>
  </si>
  <si>
    <t xml:space="preserve">Depreciation </t>
  </si>
  <si>
    <t>Adjusted Executive Summary</t>
  </si>
  <si>
    <t>Entry number</t>
  </si>
  <si>
    <t>SHOW DATA FOR:</t>
  </si>
  <si>
    <t>Entry Number:</t>
  </si>
  <si>
    <t>Executive Summary</t>
  </si>
  <si>
    <t>Current Ratio</t>
  </si>
  <si>
    <t>Net Working Capital</t>
  </si>
  <si>
    <t>Net Profit Ratio</t>
  </si>
  <si>
    <t>EBIDTA</t>
  </si>
  <si>
    <t>Interest Coverage Ratio</t>
  </si>
  <si>
    <t>Net Worth</t>
  </si>
  <si>
    <t>LIQUIDITY RATIOS</t>
  </si>
  <si>
    <t>PROFITABILITY RATIOS</t>
  </si>
  <si>
    <t>SOLVENCY RATIOS</t>
  </si>
  <si>
    <t>BALANCE SHEET as at 31st March 2015, 2016, 2017, 2018 and 2019 - BOSTON CONSULTING GROUP INDIA PVT LTD.</t>
  </si>
  <si>
    <t xml:space="preserve">STATEMENT OF PROFIT AND LOSS for the years ended 31st March </t>
  </si>
  <si>
    <t>SUMMARY OF FINANCIALS OF BOSTON CONSULTING GROUP INDIA PVT LTD.</t>
  </si>
  <si>
    <t>COMMON SIZE ANALYSIS OF BALANCE SHEET - BOSTON CONSULTING GROUP INDIA PVT LTD.</t>
  </si>
  <si>
    <t>COMMON SIZE ANALYSIS OF STATEMENT OF PROFIT AND LOSS - BOSTON CONSULTING GROUP INDIA PVT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</si>
</sst>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3" borderId="7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2" fillId="0" borderId="7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2" borderId="13" xfId="0" applyFont="1" applyFill="1" applyBorder="1"/>
    <xf numFmtId="0" fontId="0" fillId="0" borderId="4" xfId="0" applyBorder="1"/>
    <xf numFmtId="0" fontId="2" fillId="2" borderId="14" xfId="0" applyFont="1" applyFill="1" applyBorder="1"/>
    <xf numFmtId="0" fontId="0" fillId="0" borderId="15" xfId="0" applyBorder="1"/>
    <xf numFmtId="0" fontId="2" fillId="4" borderId="16" xfId="0" applyFont="1" applyFill="1" applyBorder="1"/>
    <xf numFmtId="0" fontId="2" fillId="5" borderId="17" xfId="0" applyFont="1" applyFill="1" applyBorder="1"/>
    <xf numFmtId="0" fontId="0" fillId="5" borderId="17" xfId="0" applyFill="1" applyBorder="1"/>
    <xf numFmtId="0" fontId="2" fillId="0" borderId="15" xfId="0" applyFont="1" applyBorder="1"/>
    <xf numFmtId="0" fontId="3" fillId="6" borderId="16" xfId="0" applyFont="1" applyFill="1" applyBorder="1"/>
    <xf numFmtId="0" fontId="0" fillId="7" borderId="15" xfId="0" applyFill="1" applyBorder="1"/>
    <xf numFmtId="0" fontId="2" fillId="3" borderId="14" xfId="0" applyFont="1" applyFill="1" applyBorder="1"/>
    <xf numFmtId="0" fontId="0" fillId="7" borderId="19" xfId="0" applyFill="1" applyBorder="1"/>
    <xf numFmtId="0" fontId="0" fillId="7" borderId="20" xfId="0" applyFill="1" applyBorder="1"/>
    <xf numFmtId="0" fontId="4" fillId="7" borderId="20" xfId="0" applyFont="1" applyFill="1" applyBorder="1"/>
    <xf numFmtId="0" fontId="4" fillId="7" borderId="21" xfId="0" applyFont="1" applyFill="1" applyBorder="1"/>
    <xf numFmtId="0" fontId="3" fillId="6" borderId="1" xfId="0" applyFon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2" fillId="0" borderId="0" xfId="0" applyFont="1"/>
    <xf numFmtId="0" fontId="0" fillId="7" borderId="14" xfId="0" applyFill="1" applyBorder="1"/>
    <xf numFmtId="0" fontId="0" fillId="7" borderId="18" xfId="0" applyFill="1" applyBorder="1"/>
    <xf numFmtId="0" fontId="0" fillId="0" borderId="22" xfId="0" applyBorder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8" borderId="1" xfId="0" applyFont="1" applyFill="1" applyBorder="1"/>
    <xf numFmtId="0" fontId="2" fillId="8" borderId="2" xfId="0" applyFont="1" applyFill="1" applyBorder="1"/>
    <xf numFmtId="0" fontId="2" fillId="8" borderId="3" xfId="0" applyFont="1" applyFill="1" applyBorder="1"/>
    <xf numFmtId="0" fontId="3" fillId="8" borderId="16" xfId="0" applyFont="1" applyFill="1" applyBorder="1"/>
    <xf numFmtId="9" fontId="3" fillId="6" borderId="2" xfId="1" applyFont="1" applyFill="1" applyBorder="1"/>
    <xf numFmtId="0" fontId="5" fillId="3" borderId="26" xfId="0" applyFont="1" applyFill="1" applyBorder="1"/>
    <xf numFmtId="0" fontId="0" fillId="0" borderId="26" xfId="0" applyBorder="1"/>
    <xf numFmtId="0" fontId="2" fillId="3" borderId="26" xfId="0" applyFont="1" applyFill="1" applyBorder="1"/>
    <xf numFmtId="0" fontId="2" fillId="0" borderId="26" xfId="0" applyFont="1" applyBorder="1"/>
    <xf numFmtId="0" fontId="3" fillId="6" borderId="24" xfId="0" applyFont="1" applyFill="1" applyBorder="1"/>
    <xf numFmtId="9" fontId="4" fillId="0" borderId="8" xfId="1" applyFont="1" applyFill="1" applyBorder="1"/>
    <xf numFmtId="9" fontId="5" fillId="3" borderId="8" xfId="1" applyFont="1" applyFill="1" applyBorder="1"/>
    <xf numFmtId="9" fontId="3" fillId="0" borderId="8" xfId="1" applyFont="1" applyFill="1" applyBorder="1"/>
    <xf numFmtId="9" fontId="5" fillId="0" borderId="8" xfId="1" applyFont="1" applyFill="1" applyBorder="1"/>
    <xf numFmtId="0" fontId="2" fillId="2" borderId="24" xfId="0" applyFont="1" applyFill="1" applyBorder="1"/>
    <xf numFmtId="9" fontId="5" fillId="3" borderId="27" xfId="1" applyFont="1" applyFill="1" applyBorder="1"/>
    <xf numFmtId="9" fontId="5" fillId="4" borderId="25" xfId="1" applyFont="1" applyFill="1" applyBorder="1"/>
    <xf numFmtId="9" fontId="3" fillId="6" borderId="25" xfId="1" applyFont="1" applyFill="1" applyBorder="1"/>
    <xf numFmtId="0" fontId="2" fillId="5" borderId="14" xfId="0" applyFont="1" applyFill="1" applyBorder="1"/>
    <xf numFmtId="9" fontId="4" fillId="0" borderId="27" xfId="1" applyFont="1" applyFill="1" applyBorder="1"/>
    <xf numFmtId="9" fontId="4" fillId="5" borderId="23" xfId="1" applyFont="1" applyFill="1" applyBorder="1"/>
    <xf numFmtId="0" fontId="2" fillId="2" borderId="23" xfId="0" applyFont="1" applyFill="1" applyBorder="1"/>
    <xf numFmtId="0" fontId="5" fillId="4" borderId="16" xfId="0" applyFont="1" applyFill="1" applyBorder="1"/>
    <xf numFmtId="9" fontId="4" fillId="0" borderId="15" xfId="1" applyFont="1" applyFill="1" applyBorder="1"/>
    <xf numFmtId="9" fontId="5" fillId="4" borderId="16" xfId="1" applyFont="1" applyFill="1" applyBorder="1"/>
    <xf numFmtId="9" fontId="4" fillId="5" borderId="14" xfId="1" applyFont="1" applyFill="1" applyBorder="1"/>
    <xf numFmtId="9" fontId="3" fillId="6" borderId="16" xfId="1" applyFont="1" applyFill="1" applyBorder="1"/>
    <xf numFmtId="0" fontId="6" fillId="0" borderId="0" xfId="0" applyFont="1"/>
    <xf numFmtId="0" fontId="8" fillId="9" borderId="0" xfId="0" applyFont="1" applyFill="1"/>
    <xf numFmtId="0" fontId="2" fillId="4" borderId="29" xfId="0" applyFont="1" applyFill="1" applyBorder="1"/>
    <xf numFmtId="0" fontId="0" fillId="4" borderId="30" xfId="0" applyFill="1" applyBorder="1"/>
    <xf numFmtId="0" fontId="0" fillId="4" borderId="31" xfId="0" applyFill="1" applyBorder="1"/>
    <xf numFmtId="0" fontId="0" fillId="8" borderId="22" xfId="0" applyFill="1" applyBorder="1"/>
    <xf numFmtId="0" fontId="2" fillId="8" borderId="28" xfId="0" applyFont="1" applyFill="1" applyBorder="1"/>
    <xf numFmtId="0" fontId="2" fillId="8" borderId="23" xfId="0" applyFont="1" applyFill="1" applyBorder="1"/>
    <xf numFmtId="0" fontId="0" fillId="4" borderId="32" xfId="0" applyFill="1" applyBorder="1"/>
    <xf numFmtId="0" fontId="2" fillId="8" borderId="22" xfId="0" applyFont="1" applyFill="1" applyBorder="1"/>
    <xf numFmtId="0" fontId="2" fillId="4" borderId="33" xfId="0" applyFont="1" applyFill="1" applyBorder="1"/>
    <xf numFmtId="0" fontId="0" fillId="4" borderId="34" xfId="0" applyFill="1" applyBorder="1"/>
    <xf numFmtId="0" fontId="0" fillId="0" borderId="29" xfId="0" applyBorder="1"/>
    <xf numFmtId="0" fontId="2" fillId="2" borderId="25" xfId="0" applyFont="1" applyFill="1" applyBorder="1"/>
    <xf numFmtId="9" fontId="3" fillId="0" borderId="27" xfId="1" applyFont="1" applyFill="1" applyBorder="1"/>
    <xf numFmtId="0" fontId="0" fillId="0" borderId="31" xfId="0" applyBorder="1"/>
    <xf numFmtId="0" fontId="0" fillId="0" borderId="27" xfId="0" applyBorder="1"/>
    <xf numFmtId="9" fontId="5" fillId="0" borderId="27" xfId="1" applyFont="1" applyFill="1" applyBorder="1"/>
    <xf numFmtId="0" fontId="7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7" fillId="9" borderId="3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EDFC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Trend Analysis</a:t>
            </a:r>
          </a:p>
        </c:rich>
      </c:tx>
      <c:layout>
        <c:manualLayout>
          <c:xMode val="edge"/>
          <c:yMode val="edge"/>
          <c:x val="0.30250348965279017"/>
          <c:y val="3.776736959604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491430885055228E-2"/>
          <c:y val="0.18266745406824147"/>
          <c:w val="0.84197025938100778"/>
          <c:h val="0.7355908136482939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'Horizontal(trend) Analysis'!$C$57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  <a:sp3d>
              <a:contourClr>
                <a:schemeClr val="tx1">
                  <a:lumMod val="85000"/>
                  <a:lumOff val="1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'Horizontal(trend) Analysis'!$D$57:$H$57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'Horizontal(trend) Analysis'!$D$58:$H$58</c:f>
              <c:numCache>
                <c:formatCode>General</c:formatCode>
                <c:ptCount val="5"/>
                <c:pt idx="0">
                  <c:v>100</c:v>
                </c:pt>
                <c:pt idx="1">
                  <c:v>135.75767700391822</c:v>
                </c:pt>
                <c:pt idx="2">
                  <c:v>167.96008869179599</c:v>
                </c:pt>
                <c:pt idx="3">
                  <c:v>209.39920420374813</c:v>
                </c:pt>
                <c:pt idx="4">
                  <c:v>289.45873705312397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D0-49DD-A26C-1EF47E13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83597680"/>
        <c:axId val="1383603440"/>
        <c:axId val="0"/>
      </c:bar3DChart>
      <c:catAx>
        <c:axId val="138359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603440"/>
        <c:crosses val="autoZero"/>
        <c:auto val="1"/>
        <c:lblAlgn val="ctr"/>
        <c:lblOffset val="100"/>
        <c:noMultiLvlLbl val="0"/>
      </c:catAx>
      <c:valAx>
        <c:axId val="138360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597680"/>
        <c:crosses val="autoZero"/>
        <c:crossBetween val="between"/>
      </c:val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71195995322587"/>
          <c:y val="7.5006787944610367E-2"/>
          <c:w val="0.15015629114321874"/>
          <c:h val="5.3879687452861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Total Non-Current Assets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'BS Vertical Analysis'!$D$49:$H$49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'BS Vertical Analysis'!$D$56:$H$56</c:f>
              <c:numCache>
                <c:formatCode>0%</c:formatCode>
                <c:ptCount val="5"/>
                <c:pt idx="0">
                  <c:v>0.27660348197645346</c:v>
                </c:pt>
                <c:pt idx="1">
                  <c:v>0.22166760404949384</c:v>
                </c:pt>
                <c:pt idx="2">
                  <c:v>0.32870551122077679</c:v>
                </c:pt>
                <c:pt idx="3">
                  <c:v>0.29908499339300404</c:v>
                </c:pt>
                <c:pt idx="4">
                  <c:v>0.25422736304659638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AA-416A-BAD8-65AE2F36C169}"/>
            </c:ext>
          </c:extLst>
        </c:ser>
        <c:ser>
          <c:idx val="1"/>
          <c:order val="1"/>
          <c:tx>
            <c:v>Total Current Assets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'BS Vertical Analysis'!$D$49:$H$49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'BS Vertical Analysis'!$D$65:$H$65</c:f>
              <c:numCache>
                <c:formatCode>0%</c:formatCode>
                <c:ptCount val="5"/>
                <c:pt idx="0">
                  <c:v>0.72339651802354654</c:v>
                </c:pt>
                <c:pt idx="1">
                  <c:v>0.77833239595050618</c:v>
                </c:pt>
                <c:pt idx="2">
                  <c:v>0.67129448877922315</c:v>
                </c:pt>
                <c:pt idx="3">
                  <c:v>0.70091500660699602</c:v>
                </c:pt>
                <c:pt idx="4">
                  <c:v>0.74577263695340357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AA-416A-BAD8-65AE2F36C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2877328"/>
        <c:axId val="1452878288"/>
      </c:barChart>
      <c:catAx>
        <c:axId val="145287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78288"/>
        <c:crosses val="autoZero"/>
        <c:auto val="1"/>
        <c:lblAlgn val="ctr"/>
        <c:lblOffset val="100"/>
        <c:noMultiLvlLbl val="0"/>
      </c:catAx>
      <c:valAx>
        <c:axId val="145287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7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Equity Share Capital+'BS Vertical Analysis'!$D$71:$F$71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'BS Vertical Analysis'!$D$69:$H$69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'BS Vertical Analysis'!$D$71:$H$71</c:f>
              <c:numCache>
                <c:formatCode>0%</c:formatCode>
                <c:ptCount val="5"/>
                <c:pt idx="0">
                  <c:v>1.1364152916041641E-2</c:v>
                </c:pt>
                <c:pt idx="1">
                  <c:v>7.0303712035995501E-3</c:v>
                </c:pt>
                <c:pt idx="2">
                  <c:v>7.8084737557197071E-3</c:v>
                </c:pt>
                <c:pt idx="3">
                  <c:v>6.2330150340322611E-3</c:v>
                </c:pt>
                <c:pt idx="4">
                  <c:v>3.2897766899582853E-3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71-473C-A8EA-C6DEF3833547}"/>
            </c:ext>
          </c:extLst>
        </c:ser>
        <c:ser>
          <c:idx val="1"/>
          <c:order val="1"/>
          <c:tx>
            <c:v>Reserves and Funds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'BS Vertical Analysis'!$D$69:$H$69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'BS Vertical Analysis'!$D$72:$H$72</c:f>
              <c:numCache>
                <c:formatCode>0%</c:formatCode>
                <c:ptCount val="5"/>
                <c:pt idx="0">
                  <c:v>0.19607709441338247</c:v>
                </c:pt>
                <c:pt idx="1">
                  <c:v>0.20139201349831271</c:v>
                </c:pt>
                <c:pt idx="2">
                  <c:v>0.27390564240313586</c:v>
                </c:pt>
                <c:pt idx="3">
                  <c:v>0.27361689396394823</c:v>
                </c:pt>
                <c:pt idx="4">
                  <c:v>0.24391062334688718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71-473C-A8EA-C6DEF3833547}"/>
            </c:ext>
          </c:extLst>
        </c:ser>
        <c:ser>
          <c:idx val="2"/>
          <c:order val="2"/>
          <c:tx>
            <c:v>Total Non-Current Liabilites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'BS Vertical Analysis'!$D$69:$H$69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'BS Vertical Analysis'!$D$78:$H$78</c:f>
              <c:numCache>
                <c:formatCode>0%</c:formatCode>
                <c:ptCount val="5"/>
                <c:pt idx="0">
                  <c:v>0.31778717214418839</c:v>
                </c:pt>
                <c:pt idx="1">
                  <c:v>0.49232283464566923</c:v>
                </c:pt>
                <c:pt idx="2">
                  <c:v>0.31363515687223775</c:v>
                </c:pt>
                <c:pt idx="3">
                  <c:v>0.25365877982497692</c:v>
                </c:pt>
                <c:pt idx="4">
                  <c:v>0.3591383416893662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71-473C-A8EA-C6DEF3833547}"/>
            </c:ext>
          </c:extLst>
        </c:ser>
        <c:ser>
          <c:idx val="3"/>
          <c:order val="3"/>
          <c:tx>
            <c:v>Total Current Liabilities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'BS Vertical Analysis'!$D$69:$H$69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'BS Vertical Analysis'!$D$83:$H$83</c:f>
              <c:numCache>
                <c:formatCode>0%</c:formatCode>
                <c:ptCount val="5"/>
                <c:pt idx="0">
                  <c:v>0.47477158052638768</c:v>
                </c:pt>
                <c:pt idx="1">
                  <c:v>0.29925478065241845</c:v>
                </c:pt>
                <c:pt idx="2">
                  <c:v>0.40465072696890664</c:v>
                </c:pt>
                <c:pt idx="3">
                  <c:v>0.46649131117704251</c:v>
                </c:pt>
                <c:pt idx="4">
                  <c:v>0.39366125827378834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71-473C-A8EA-C6DEF3833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2874928"/>
        <c:axId val="1452876848"/>
      </c:barChart>
      <c:catAx>
        <c:axId val="14528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76848"/>
        <c:crosses val="autoZero"/>
        <c:auto val="1"/>
        <c:lblAlgn val="ctr"/>
        <c:lblOffset val="100"/>
        <c:noMultiLvlLbl val="0"/>
      </c:catAx>
      <c:valAx>
        <c:axId val="145287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87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Total Income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'P&amp;L Vertical Analysis'!$D$6:$H$6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'P&amp;L Vertical Analysis'!$D$9:$H$9</c:f>
              <c:numCache>
                <c:formatCode>General</c:formatCode>
                <c:ptCount val="5"/>
                <c:pt idx="0">
                  <c:v>6584.6</c:v>
                </c:pt>
                <c:pt idx="1">
                  <c:v>8939.1</c:v>
                </c:pt>
                <c:pt idx="2">
                  <c:v>11059.5</c:v>
                </c:pt>
                <c:pt idx="3">
                  <c:v>13788.1</c:v>
                </c:pt>
                <c:pt idx="4">
                  <c:v>19059.7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A-4D9F-BB59-0438096F2D8B}"/>
            </c:ext>
          </c:extLst>
        </c:ser>
        <c:ser>
          <c:idx val="1"/>
          <c:order val="1"/>
          <c:tx>
            <c:v>Profit for the year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'P&amp;L Vertical Analysis'!$D$6:$H$6</c:f>
              <c:numCache>
                <c:formatCode>General</c:formatCode>
                <c:ptCount val="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</c:numCache>
            </c:numRef>
          </c:cat>
          <c:val>
            <c:numRef>
              <c:f>'P&amp;L Vertical Analysis'!$D$31:$H$31</c:f>
              <c:numCache>
                <c:formatCode>General</c:formatCode>
                <c:ptCount val="5"/>
                <c:pt idx="0">
                  <c:v>254.2</c:v>
                </c:pt>
                <c:pt idx="1">
                  <c:v>569.6</c:v>
                </c:pt>
                <c:pt idx="2">
                  <c:v>321.60000000000002</c:v>
                </c:pt>
                <c:pt idx="3">
                  <c:v>848.5</c:v>
                </c:pt>
                <c:pt idx="4">
                  <c:v>1539.4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67A-4D9F-BB59-0438096F2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111648"/>
        <c:axId val="937964336"/>
      </c:lineChart>
      <c:catAx>
        <c:axId val="116511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964336"/>
        <c:crosses val="autoZero"/>
        <c:auto val="1"/>
        <c:lblAlgn val="ctr"/>
        <c:lblOffset val="100"/>
        <c:noMultiLvlLbl val="0"/>
      </c:catAx>
      <c:valAx>
        <c:axId val="9379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11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60</xdr:row>
      <xdr:rowOff>129540</xdr:rowOff>
    </xdr:from>
    <xdr:to>
      <xdr:col>7</xdr:col>
      <xdr:colOff>586740</xdr:colOff>
      <xdr:row>82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C0BD6C-D9CE-F539-BA11-84F4247070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341923</xdr:colOff>
      <xdr:row>48</xdr:row>
      <xdr:rowOff>30285</xdr:rowOff>
    </xdr:from>
    <xdr:to>
      <xdr:col>16</xdr:col>
      <xdr:colOff>68385</xdr:colOff>
      <xdr:row>66</xdr:row>
      <xdr:rowOff>78154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37DFF-30C2-9305-FC17-91211F914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293078</xdr:colOff>
      <xdr:row>68</xdr:row>
      <xdr:rowOff>0</xdr:rowOff>
    </xdr:from>
    <xdr:to>
      <xdr:col>16</xdr:col>
      <xdr:colOff>19540</xdr:colOff>
      <xdr:row>85</xdr:row>
      <xdr:rowOff>9769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95D307-7817-9A0E-401D-D80A0435F6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432486</xdr:colOff>
      <xdr:row>5</xdr:row>
      <xdr:rowOff>0</xdr:rowOff>
    </xdr:from>
    <xdr:to>
      <xdr:col>19</xdr:col>
      <xdr:colOff>30891</xdr:colOff>
      <xdr:row>30</xdr:row>
      <xdr:rowOff>185350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2CA1C-FFF5-3450-A61A-FDB4099A8F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D6AE8-F818-407B-9ADC-1BD76F38B985}">
  <sheetPr codeName="Sheet1"/>
  <dimension ref="C4:I42"/>
  <sheetViews>
    <sheetView topLeftCell="B1" zoomScale="54" workbookViewId="0">
      <selection activeCell="J8" sqref="J8"/>
    </sheetView>
  </sheetViews>
  <sheetFormatPr defaultRowHeight="14.4" x14ac:dyDescent="0.3"/>
  <cols>
    <col min="3" max="3" width="45.77734375" bestFit="1" customWidth="1"/>
    <col min="4" max="8" width="17.5546875" customWidth="1"/>
  </cols>
  <sheetData>
    <row r="4" spans="3:9" ht="18" x14ac:dyDescent="0.35">
      <c r="C4" s="87" t="s">
        <v>81</v>
      </c>
      <c r="D4" s="87"/>
      <c r="E4" s="87"/>
      <c r="F4" s="87"/>
      <c r="G4" s="87"/>
      <c r="H4" s="87"/>
    </row>
    <row r="5" spans="3:9" ht="15" thickBot="1" x14ac:dyDescent="0.35"/>
    <row r="6" spans="3:9" ht="15" thickBot="1" x14ac:dyDescent="0.35">
      <c r="C6" s="1" t="s">
        <v>0</v>
      </c>
      <c r="D6" s="2">
        <v>2015</v>
      </c>
      <c r="E6" s="2">
        <v>2016</v>
      </c>
      <c r="F6" s="2">
        <v>2017</v>
      </c>
      <c r="G6" s="2">
        <v>2018</v>
      </c>
      <c r="H6" s="3">
        <v>2019</v>
      </c>
    </row>
    <row r="7" spans="3:9" x14ac:dyDescent="0.3">
      <c r="C7" s="4" t="s">
        <v>1</v>
      </c>
      <c r="D7" s="5"/>
      <c r="E7" s="5"/>
      <c r="F7" s="5"/>
      <c r="G7" s="5"/>
      <c r="H7" s="6"/>
    </row>
    <row r="8" spans="3:9" x14ac:dyDescent="0.3">
      <c r="C8" s="7" t="s">
        <v>2</v>
      </c>
      <c r="D8" s="8">
        <v>297</v>
      </c>
      <c r="E8" s="8">
        <v>273.2</v>
      </c>
      <c r="F8" s="8">
        <v>754.7</v>
      </c>
      <c r="G8" s="8">
        <v>700</v>
      </c>
      <c r="H8" s="9">
        <v>2045.9</v>
      </c>
      <c r="I8" s="69"/>
    </row>
    <row r="9" spans="3:9" x14ac:dyDescent="0.3">
      <c r="C9" s="7" t="s">
        <v>3</v>
      </c>
      <c r="D9" s="8">
        <v>0.3</v>
      </c>
      <c r="E9" s="8">
        <v>186.5</v>
      </c>
      <c r="F9" s="8">
        <v>217.5</v>
      </c>
      <c r="G9" s="8">
        <v>361</v>
      </c>
      <c r="H9" s="9">
        <v>20.3</v>
      </c>
    </row>
    <row r="10" spans="3:9" x14ac:dyDescent="0.3">
      <c r="C10" s="7" t="s">
        <v>4</v>
      </c>
      <c r="D10" s="8">
        <v>150.19999999999999</v>
      </c>
      <c r="E10" s="8">
        <v>75</v>
      </c>
      <c r="F10" s="8">
        <v>89</v>
      </c>
      <c r="G10" s="8">
        <v>120.4</v>
      </c>
      <c r="H10" s="9">
        <v>56.3</v>
      </c>
    </row>
    <row r="11" spans="3:9" x14ac:dyDescent="0.3">
      <c r="C11" s="7" t="s">
        <v>5</v>
      </c>
      <c r="D11" s="8">
        <v>768.8</v>
      </c>
      <c r="E11" s="8">
        <v>996.1</v>
      </c>
      <c r="F11" s="8">
        <v>1043.5999999999999</v>
      </c>
      <c r="G11" s="8">
        <v>1217.8</v>
      </c>
      <c r="H11" s="9">
        <v>1741.4</v>
      </c>
    </row>
    <row r="12" spans="3:9" x14ac:dyDescent="0.3">
      <c r="C12" s="7" t="s">
        <v>6</v>
      </c>
      <c r="D12" s="8">
        <v>0.7</v>
      </c>
      <c r="E12" s="8">
        <v>45.7</v>
      </c>
      <c r="F12" s="8"/>
      <c r="G12" s="8"/>
      <c r="H12" s="9"/>
    </row>
    <row r="13" spans="3:9" x14ac:dyDescent="0.3">
      <c r="C13" s="10" t="s">
        <v>7</v>
      </c>
      <c r="D13" s="11">
        <f>SUM(D8:D12)</f>
        <v>1217</v>
      </c>
      <c r="E13" s="11">
        <f t="shared" ref="E13:H13" si="0">SUM(E8:E12)</f>
        <v>1576.5000000000002</v>
      </c>
      <c r="F13" s="11">
        <f t="shared" si="0"/>
        <v>2104.8000000000002</v>
      </c>
      <c r="G13" s="11">
        <f t="shared" si="0"/>
        <v>2399.1999999999998</v>
      </c>
      <c r="H13" s="12">
        <f t="shared" si="0"/>
        <v>3863.9000000000005</v>
      </c>
    </row>
    <row r="14" spans="3:9" x14ac:dyDescent="0.3">
      <c r="C14" s="7"/>
      <c r="D14" s="8"/>
      <c r="E14" s="8"/>
      <c r="F14" s="8"/>
      <c r="G14" s="8"/>
      <c r="H14" s="9"/>
    </row>
    <row r="15" spans="3:9" x14ac:dyDescent="0.3">
      <c r="C15" s="13" t="s">
        <v>8</v>
      </c>
      <c r="D15" s="8"/>
      <c r="E15" s="8"/>
      <c r="F15" s="8"/>
      <c r="G15" s="8"/>
      <c r="H15" s="9"/>
    </row>
    <row r="16" spans="3:9" x14ac:dyDescent="0.3">
      <c r="C16" s="7" t="s">
        <v>9</v>
      </c>
      <c r="D16" s="8">
        <v>508.7</v>
      </c>
      <c r="E16" s="8">
        <v>657.9</v>
      </c>
      <c r="F16" s="8">
        <v>345.4</v>
      </c>
      <c r="G16" s="8">
        <v>502.4</v>
      </c>
      <c r="H16" s="9">
        <v>144.9</v>
      </c>
    </row>
    <row r="17" spans="3:8" x14ac:dyDescent="0.3">
      <c r="C17" s="7" t="s">
        <v>10</v>
      </c>
      <c r="D17" s="8">
        <v>106.2</v>
      </c>
      <c r="E17" s="8">
        <v>206.7</v>
      </c>
      <c r="F17" s="8">
        <v>149.5</v>
      </c>
      <c r="G17" s="8">
        <v>137.19999999999999</v>
      </c>
      <c r="H17" s="9">
        <v>188.2</v>
      </c>
    </row>
    <row r="18" spans="3:8" x14ac:dyDescent="0.3">
      <c r="C18" s="7" t="s">
        <v>11</v>
      </c>
      <c r="D18" s="8">
        <v>120</v>
      </c>
      <c r="E18" s="8">
        <v>165.2</v>
      </c>
      <c r="F18" s="8">
        <v>154.80000000000001</v>
      </c>
      <c r="G18" s="8">
        <v>160</v>
      </c>
      <c r="H18" s="9">
        <v>123.2</v>
      </c>
    </row>
    <row r="19" spans="3:8" x14ac:dyDescent="0.3">
      <c r="C19" s="7" t="s">
        <v>12</v>
      </c>
      <c r="D19" s="8">
        <v>211.5</v>
      </c>
      <c r="E19" s="8"/>
      <c r="F19" s="8">
        <v>443.2</v>
      </c>
      <c r="G19" s="8">
        <v>213.1</v>
      </c>
      <c r="H19" s="9"/>
    </row>
    <row r="20" spans="3:8" x14ac:dyDescent="0.3">
      <c r="C20" s="7" t="s">
        <v>13</v>
      </c>
      <c r="D20" s="8">
        <v>1706.5</v>
      </c>
      <c r="E20" s="8">
        <v>2277.6999999999998</v>
      </c>
      <c r="F20" s="8">
        <v>1921.8</v>
      </c>
      <c r="G20" s="8">
        <v>3493.1</v>
      </c>
      <c r="H20" s="9">
        <v>5758.3</v>
      </c>
    </row>
    <row r="21" spans="3:8" x14ac:dyDescent="0.3">
      <c r="C21" s="7" t="s">
        <v>14</v>
      </c>
      <c r="D21" s="8">
        <v>529.9</v>
      </c>
      <c r="E21" s="8">
        <v>2228</v>
      </c>
      <c r="F21" s="8">
        <v>1283.8</v>
      </c>
      <c r="G21" s="8">
        <v>1116.8</v>
      </c>
      <c r="H21" s="9">
        <v>5120.1000000000004</v>
      </c>
    </row>
    <row r="22" spans="3:8" x14ac:dyDescent="0.3">
      <c r="C22" s="10" t="s">
        <v>15</v>
      </c>
      <c r="D22" s="11">
        <f>SUM(D16:D21)</f>
        <v>3182.8</v>
      </c>
      <c r="E22" s="11">
        <f t="shared" ref="E22:H22" si="1">SUM(E16:E21)</f>
        <v>5535.5</v>
      </c>
      <c r="F22" s="11">
        <f t="shared" si="1"/>
        <v>4298.5</v>
      </c>
      <c r="G22" s="11">
        <f t="shared" si="1"/>
        <v>5622.6</v>
      </c>
      <c r="H22" s="12">
        <f t="shared" si="1"/>
        <v>11334.7</v>
      </c>
    </row>
    <row r="23" spans="3:8" ht="15" thickBot="1" x14ac:dyDescent="0.35">
      <c r="C23" s="7"/>
      <c r="D23" s="8"/>
      <c r="E23" s="8"/>
      <c r="F23" s="8"/>
      <c r="G23" s="8"/>
      <c r="H23" s="9"/>
    </row>
    <row r="24" spans="3:8" ht="15" thickBot="1" x14ac:dyDescent="0.35">
      <c r="C24" s="32" t="s">
        <v>16</v>
      </c>
      <c r="D24" s="33">
        <f>D13+D22</f>
        <v>4399.8</v>
      </c>
      <c r="E24" s="33">
        <f t="shared" ref="E24:H24" si="2">E13+E22</f>
        <v>7112</v>
      </c>
      <c r="F24" s="33">
        <f t="shared" si="2"/>
        <v>6403.3</v>
      </c>
      <c r="G24" s="33">
        <f t="shared" si="2"/>
        <v>8021.8</v>
      </c>
      <c r="H24" s="34">
        <f t="shared" si="2"/>
        <v>15198.600000000002</v>
      </c>
    </row>
    <row r="25" spans="3:8" ht="15" thickBot="1" x14ac:dyDescent="0.35">
      <c r="C25" s="14"/>
      <c r="D25" s="15"/>
      <c r="E25" s="15"/>
      <c r="F25" s="15"/>
      <c r="G25" s="15"/>
      <c r="H25" s="16"/>
    </row>
    <row r="26" spans="3:8" ht="15" thickBot="1" x14ac:dyDescent="0.35">
      <c r="C26" s="1" t="s">
        <v>17</v>
      </c>
      <c r="D26" s="17">
        <v>2015</v>
      </c>
      <c r="E26" s="2">
        <v>2016</v>
      </c>
      <c r="F26" s="2">
        <v>2017</v>
      </c>
      <c r="G26" s="2">
        <v>2018</v>
      </c>
      <c r="H26" s="3">
        <v>2019</v>
      </c>
    </row>
    <row r="27" spans="3:8" x14ac:dyDescent="0.3">
      <c r="C27" s="18"/>
      <c r="D27" s="5"/>
      <c r="E27" s="5"/>
      <c r="F27" s="5"/>
      <c r="G27" s="5"/>
      <c r="H27" s="6"/>
    </row>
    <row r="28" spans="3:8" x14ac:dyDescent="0.3">
      <c r="C28" s="7" t="s">
        <v>18</v>
      </c>
      <c r="D28" s="8">
        <v>50</v>
      </c>
      <c r="E28" s="8">
        <v>50</v>
      </c>
      <c r="F28" s="8">
        <v>50</v>
      </c>
      <c r="G28" s="8">
        <v>50</v>
      </c>
      <c r="H28" s="9">
        <v>50</v>
      </c>
    </row>
    <row r="29" spans="3:8" x14ac:dyDescent="0.3">
      <c r="C29" s="7" t="s">
        <v>19</v>
      </c>
      <c r="D29" s="8">
        <v>862.7</v>
      </c>
      <c r="E29" s="8">
        <v>1432.3</v>
      </c>
      <c r="F29" s="8">
        <v>1753.9</v>
      </c>
      <c r="G29" s="8">
        <v>2194.9</v>
      </c>
      <c r="H29" s="9">
        <v>3707.1</v>
      </c>
    </row>
    <row r="30" spans="3:8" x14ac:dyDescent="0.3">
      <c r="C30" s="13" t="s">
        <v>20</v>
      </c>
      <c r="D30" s="8"/>
      <c r="E30" s="8"/>
      <c r="F30" s="8"/>
      <c r="G30" s="8"/>
      <c r="H30" s="9"/>
    </row>
    <row r="31" spans="3:8" x14ac:dyDescent="0.3">
      <c r="C31" s="7" t="s">
        <v>21</v>
      </c>
      <c r="D31" s="8">
        <f>D24-(SUM(D28:D29,D32:D34,D40))</f>
        <v>68</v>
      </c>
      <c r="E31" s="8">
        <f t="shared" ref="E31:H31" si="3">E24-(SUM(E28:E29,E32:E34,E40))</f>
        <v>133.39999999999964</v>
      </c>
      <c r="F31" s="8">
        <f t="shared" si="3"/>
        <v>371.80000000000018</v>
      </c>
      <c r="G31" s="8">
        <f t="shared" si="3"/>
        <v>87.800000000000182</v>
      </c>
      <c r="H31" s="9">
        <f t="shared" si="3"/>
        <v>872.80000000000291</v>
      </c>
    </row>
    <row r="32" spans="3:8" x14ac:dyDescent="0.3">
      <c r="C32" s="7" t="s">
        <v>22</v>
      </c>
      <c r="D32" s="8"/>
      <c r="E32" s="8"/>
      <c r="F32" s="8"/>
      <c r="G32" s="8">
        <v>91.1</v>
      </c>
      <c r="H32" s="9">
        <v>116.2</v>
      </c>
    </row>
    <row r="33" spans="3:8" x14ac:dyDescent="0.3">
      <c r="C33" s="7" t="s">
        <v>23</v>
      </c>
      <c r="D33" s="8">
        <v>1197.5999999999999</v>
      </c>
      <c r="E33" s="8">
        <v>1697.7</v>
      </c>
      <c r="F33" s="8">
        <v>60.1</v>
      </c>
      <c r="G33" s="8"/>
      <c r="H33" s="9"/>
    </row>
    <row r="34" spans="3:8" x14ac:dyDescent="0.3">
      <c r="C34" s="7" t="s">
        <v>24</v>
      </c>
      <c r="D34" s="8">
        <v>132.6</v>
      </c>
      <c r="E34" s="8">
        <v>1670.3</v>
      </c>
      <c r="F34" s="8">
        <v>1576.4</v>
      </c>
      <c r="G34" s="8">
        <v>1855.9</v>
      </c>
      <c r="H34" s="9">
        <v>4469.3999999999996</v>
      </c>
    </row>
    <row r="35" spans="3:8" x14ac:dyDescent="0.3">
      <c r="C35" s="10" t="s">
        <v>25</v>
      </c>
      <c r="D35" s="11">
        <f>SUM(D31:D34)</f>
        <v>1398.1999999999998</v>
      </c>
      <c r="E35" s="11">
        <f t="shared" ref="E35:H35" si="4">SUM(E31:E34)</f>
        <v>3501.3999999999996</v>
      </c>
      <c r="F35" s="11">
        <f t="shared" si="4"/>
        <v>2008.3000000000002</v>
      </c>
      <c r="G35" s="11">
        <f t="shared" si="4"/>
        <v>2034.8000000000002</v>
      </c>
      <c r="H35" s="12">
        <f t="shared" si="4"/>
        <v>5458.4000000000024</v>
      </c>
    </row>
    <row r="36" spans="3:8" x14ac:dyDescent="0.3">
      <c r="C36" s="13"/>
      <c r="D36" s="8"/>
      <c r="E36" s="8"/>
      <c r="F36" s="8"/>
      <c r="G36" s="8"/>
      <c r="H36" s="9"/>
    </row>
    <row r="37" spans="3:8" x14ac:dyDescent="0.3">
      <c r="C37" s="13" t="s">
        <v>26</v>
      </c>
      <c r="D37" s="8"/>
      <c r="E37" s="8"/>
      <c r="F37" s="8"/>
      <c r="G37" s="8"/>
      <c r="H37" s="9"/>
    </row>
    <row r="38" spans="3:8" x14ac:dyDescent="0.3">
      <c r="C38" s="7" t="s">
        <v>27</v>
      </c>
      <c r="D38" s="8">
        <v>555.79999999999995</v>
      </c>
      <c r="E38" s="8">
        <v>331.1</v>
      </c>
      <c r="F38" s="8">
        <v>361.7</v>
      </c>
      <c r="G38" s="8">
        <v>581.1</v>
      </c>
      <c r="H38" s="9">
        <v>1111.4000000000001</v>
      </c>
    </row>
    <row r="39" spans="3:8" x14ac:dyDescent="0.3">
      <c r="C39" s="7" t="s">
        <v>28</v>
      </c>
      <c r="D39" s="8">
        <f>D40-D38</f>
        <v>1533.1000000000001</v>
      </c>
      <c r="E39" s="8">
        <f t="shared" ref="E39:H39" si="5">E40-E38</f>
        <v>1797.2000000000003</v>
      </c>
      <c r="F39" s="8">
        <f t="shared" si="5"/>
        <v>2229.4</v>
      </c>
      <c r="G39" s="8">
        <f t="shared" si="5"/>
        <v>3161</v>
      </c>
      <c r="H39" s="9">
        <f t="shared" si="5"/>
        <v>4871.7000000000007</v>
      </c>
    </row>
    <row r="40" spans="3:8" x14ac:dyDescent="0.3">
      <c r="C40" s="10" t="s">
        <v>29</v>
      </c>
      <c r="D40" s="11">
        <v>2088.9</v>
      </c>
      <c r="E40" s="11">
        <v>2128.3000000000002</v>
      </c>
      <c r="F40" s="11">
        <v>2591.1</v>
      </c>
      <c r="G40" s="11">
        <v>3742.1</v>
      </c>
      <c r="H40" s="12">
        <v>5983.1</v>
      </c>
    </row>
    <row r="41" spans="3:8" ht="15" thickBot="1" x14ac:dyDescent="0.35">
      <c r="C41" s="7"/>
      <c r="D41" s="8"/>
      <c r="E41" s="8"/>
      <c r="F41" s="8"/>
      <c r="G41" s="8"/>
      <c r="H41" s="9"/>
    </row>
    <row r="42" spans="3:8" ht="15" thickBot="1" x14ac:dyDescent="0.35">
      <c r="C42" s="32" t="s">
        <v>30</v>
      </c>
      <c r="D42" s="33">
        <f>SUM(D28:D29,D35,D40)</f>
        <v>4399.7999999999993</v>
      </c>
      <c r="E42" s="33">
        <f t="shared" ref="E42:H42" si="6">SUM(E28:E29,E35,E40)</f>
        <v>7112</v>
      </c>
      <c r="F42" s="33">
        <f t="shared" si="6"/>
        <v>6403.3</v>
      </c>
      <c r="G42" s="33">
        <f t="shared" si="6"/>
        <v>8021.8000000000011</v>
      </c>
      <c r="H42" s="34">
        <f t="shared" si="6"/>
        <v>15198.600000000002</v>
      </c>
    </row>
  </sheetData>
  <mergeCells count="1">
    <mergeCell ref="C4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C8BAE-17BF-4EAC-855D-91ED1FB87CB7}">
  <sheetPr codeName="Sheet2"/>
  <dimension ref="C4:H31"/>
  <sheetViews>
    <sheetView zoomScale="62" workbookViewId="0">
      <selection activeCell="J24" sqref="J24"/>
    </sheetView>
  </sheetViews>
  <sheetFormatPr defaultRowHeight="14.4" x14ac:dyDescent="0.3"/>
  <cols>
    <col min="3" max="3" width="48.88671875" bestFit="1" customWidth="1"/>
    <col min="4" max="8" width="23.77734375" customWidth="1"/>
  </cols>
  <sheetData>
    <row r="4" spans="3:8" ht="23.4" x14ac:dyDescent="0.45">
      <c r="C4" s="88" t="s">
        <v>82</v>
      </c>
      <c r="D4" s="88"/>
      <c r="E4" s="88"/>
      <c r="F4" s="88"/>
      <c r="G4" s="88"/>
      <c r="H4" s="88"/>
    </row>
    <row r="5" spans="3:8" ht="15" thickBot="1" x14ac:dyDescent="0.35"/>
    <row r="6" spans="3:8" x14ac:dyDescent="0.3">
      <c r="C6" s="19" t="s">
        <v>31</v>
      </c>
      <c r="D6" s="19">
        <v>2015</v>
      </c>
      <c r="E6" s="19">
        <v>2016</v>
      </c>
      <c r="F6" s="19">
        <v>2017</v>
      </c>
      <c r="G6" s="19">
        <v>2018</v>
      </c>
      <c r="H6" s="19">
        <v>2019</v>
      </c>
    </row>
    <row r="7" spans="3:8" x14ac:dyDescent="0.3">
      <c r="C7" s="20" t="s">
        <v>32</v>
      </c>
      <c r="D7" s="20">
        <f>D9-D8</f>
        <v>5844.9000000000005</v>
      </c>
      <c r="E7" s="20">
        <f t="shared" ref="E7:H7" si="0">E9-E8</f>
        <v>7934.1</v>
      </c>
      <c r="F7" s="20">
        <f t="shared" si="0"/>
        <v>10043.6</v>
      </c>
      <c r="G7" s="20">
        <f t="shared" si="0"/>
        <v>12215.300000000001</v>
      </c>
      <c r="H7" s="20">
        <f t="shared" si="0"/>
        <v>16536.5</v>
      </c>
    </row>
    <row r="8" spans="3:8" ht="15" thickBot="1" x14ac:dyDescent="0.35">
      <c r="C8" s="20" t="s">
        <v>33</v>
      </c>
      <c r="D8" s="20">
        <v>739.7</v>
      </c>
      <c r="E8" s="20">
        <v>1005</v>
      </c>
      <c r="F8" s="20">
        <v>1015.9</v>
      </c>
      <c r="G8" s="20">
        <v>1572.8</v>
      </c>
      <c r="H8" s="20">
        <v>2523.1999999999998</v>
      </c>
    </row>
    <row r="9" spans="3:8" ht="15" thickBot="1" x14ac:dyDescent="0.35">
      <c r="C9" s="21" t="s">
        <v>34</v>
      </c>
      <c r="D9" s="21">
        <v>6584.6</v>
      </c>
      <c r="E9" s="21">
        <v>8939.1</v>
      </c>
      <c r="F9" s="21">
        <v>11059.5</v>
      </c>
      <c r="G9" s="21">
        <v>13788.1</v>
      </c>
      <c r="H9" s="21">
        <v>19059.7</v>
      </c>
    </row>
    <row r="10" spans="3:8" x14ac:dyDescent="0.3">
      <c r="C10" s="20"/>
      <c r="D10" s="20"/>
      <c r="E10" s="20"/>
      <c r="F10" s="20"/>
      <c r="G10" s="20"/>
      <c r="H10" s="20"/>
    </row>
    <row r="11" spans="3:8" x14ac:dyDescent="0.3">
      <c r="C11" s="22" t="s">
        <v>35</v>
      </c>
      <c r="D11" s="23"/>
      <c r="E11" s="23"/>
      <c r="F11" s="23"/>
      <c r="G11" s="23"/>
      <c r="H11" s="23"/>
    </row>
    <row r="12" spans="3:8" x14ac:dyDescent="0.3">
      <c r="C12" s="20" t="s">
        <v>36</v>
      </c>
      <c r="D12" s="20">
        <v>500.8</v>
      </c>
      <c r="E12" s="20">
        <v>431.8</v>
      </c>
      <c r="F12" s="20">
        <v>452.3</v>
      </c>
      <c r="G12" s="20">
        <v>1049.5</v>
      </c>
      <c r="H12" s="20">
        <v>1725.4</v>
      </c>
    </row>
    <row r="13" spans="3:8" x14ac:dyDescent="0.3">
      <c r="C13" s="20" t="s">
        <v>37</v>
      </c>
      <c r="D13" s="20">
        <v>187</v>
      </c>
      <c r="E13" s="20">
        <v>206.5</v>
      </c>
      <c r="F13" s="20">
        <v>290.10000000000002</v>
      </c>
      <c r="G13" s="20">
        <v>325.7</v>
      </c>
      <c r="H13" s="20">
        <v>446.9</v>
      </c>
    </row>
    <row r="14" spans="3:8" x14ac:dyDescent="0.3">
      <c r="C14" s="20" t="s">
        <v>38</v>
      </c>
      <c r="D14" s="20">
        <v>13.3</v>
      </c>
      <c r="E14" s="20">
        <v>19.2</v>
      </c>
      <c r="F14" s="20">
        <v>23</v>
      </c>
      <c r="G14" s="20">
        <v>25.8</v>
      </c>
      <c r="H14" s="20">
        <v>33.799999999999997</v>
      </c>
    </row>
    <row r="15" spans="3:8" x14ac:dyDescent="0.3">
      <c r="C15" s="20" t="s">
        <v>39</v>
      </c>
      <c r="D15" s="20">
        <v>3895</v>
      </c>
      <c r="E15" s="20">
        <v>5405.3</v>
      </c>
      <c r="F15" s="20">
        <v>7151.4</v>
      </c>
      <c r="G15" s="20">
        <v>7754.9</v>
      </c>
      <c r="H15" s="20">
        <v>9724.4</v>
      </c>
    </row>
    <row r="16" spans="3:8" x14ac:dyDescent="0.3">
      <c r="C16" s="20" t="s">
        <v>40</v>
      </c>
      <c r="D16" s="20">
        <v>1.1000000000000001</v>
      </c>
      <c r="E16" s="20">
        <v>7.8</v>
      </c>
      <c r="F16" s="20">
        <v>7.4</v>
      </c>
      <c r="G16" s="20">
        <v>9.8000000000000007</v>
      </c>
      <c r="H16" s="20">
        <v>7.6</v>
      </c>
    </row>
    <row r="17" spans="3:8" x14ac:dyDescent="0.3">
      <c r="C17" s="20" t="s">
        <v>41</v>
      </c>
      <c r="D17" s="20"/>
      <c r="E17" s="20"/>
      <c r="F17" s="20"/>
      <c r="G17" s="20"/>
      <c r="H17" s="20"/>
    </row>
    <row r="18" spans="3:8" x14ac:dyDescent="0.3">
      <c r="C18" s="20" t="s">
        <v>42</v>
      </c>
      <c r="D18" s="20">
        <v>33</v>
      </c>
      <c r="E18" s="20">
        <v>51.5</v>
      </c>
      <c r="F18" s="20">
        <v>61.4</v>
      </c>
      <c r="G18" s="20">
        <v>78.5</v>
      </c>
      <c r="H18" s="20">
        <v>1038</v>
      </c>
    </row>
    <row r="19" spans="3:8" x14ac:dyDescent="0.3">
      <c r="C19" s="20" t="s">
        <v>43</v>
      </c>
      <c r="D19" s="20">
        <v>657.1</v>
      </c>
      <c r="E19" s="20">
        <v>859.3</v>
      </c>
      <c r="F19" s="20">
        <v>1227.0999999999999</v>
      </c>
      <c r="G19" s="20">
        <v>1839.6</v>
      </c>
      <c r="H19" s="20">
        <v>1725.1</v>
      </c>
    </row>
    <row r="20" spans="3:8" x14ac:dyDescent="0.3">
      <c r="C20" s="20" t="s">
        <v>44</v>
      </c>
      <c r="D20" s="20">
        <v>798.3</v>
      </c>
      <c r="E20" s="20">
        <v>1082.7</v>
      </c>
      <c r="F20" s="20">
        <v>1273.4000000000001</v>
      </c>
      <c r="G20" s="20">
        <v>1506.1</v>
      </c>
      <c r="H20" s="20">
        <v>2154.3000000000002</v>
      </c>
    </row>
    <row r="21" spans="3:8" x14ac:dyDescent="0.3">
      <c r="C21" s="20" t="s">
        <v>45</v>
      </c>
      <c r="D21" s="20">
        <v>65.3</v>
      </c>
      <c r="E21" s="20">
        <v>85.3</v>
      </c>
      <c r="F21" s="20">
        <v>79.3</v>
      </c>
      <c r="G21" s="20">
        <v>114.9</v>
      </c>
      <c r="H21" s="20">
        <v>143</v>
      </c>
    </row>
    <row r="22" spans="3:8" x14ac:dyDescent="0.3">
      <c r="C22" s="20" t="s">
        <v>46</v>
      </c>
      <c r="D22" s="20">
        <v>55.6</v>
      </c>
      <c r="E22" s="20">
        <v>91.1</v>
      </c>
      <c r="F22" s="20">
        <v>0.3</v>
      </c>
      <c r="G22" s="20">
        <v>15.6</v>
      </c>
      <c r="H22" s="20">
        <v>139.5</v>
      </c>
    </row>
    <row r="23" spans="3:8" ht="15" thickBot="1" x14ac:dyDescent="0.35">
      <c r="C23" s="20" t="s">
        <v>47</v>
      </c>
      <c r="D23" s="20">
        <v>123.9</v>
      </c>
      <c r="E23" s="20">
        <v>129</v>
      </c>
      <c r="F23" s="20">
        <v>172.2</v>
      </c>
      <c r="G23" s="20">
        <v>219.2</v>
      </c>
      <c r="H23" s="20">
        <v>382.3</v>
      </c>
    </row>
    <row r="24" spans="3:8" ht="15" thickBot="1" x14ac:dyDescent="0.35">
      <c r="C24" s="21" t="s">
        <v>48</v>
      </c>
      <c r="D24" s="21">
        <v>6330.4</v>
      </c>
      <c r="E24" s="21">
        <v>8369.5</v>
      </c>
      <c r="F24" s="21">
        <v>10737.9</v>
      </c>
      <c r="G24" s="21">
        <v>12939.6</v>
      </c>
      <c r="H24" s="21">
        <v>17520.3</v>
      </c>
    </row>
    <row r="25" spans="3:8" x14ac:dyDescent="0.3">
      <c r="C25" s="20"/>
      <c r="D25" s="20"/>
      <c r="E25" s="20"/>
      <c r="F25" s="20"/>
      <c r="G25" s="20"/>
      <c r="H25" s="20"/>
    </row>
    <row r="26" spans="3:8" x14ac:dyDescent="0.3">
      <c r="C26" s="24" t="s">
        <v>49</v>
      </c>
      <c r="D26" s="20">
        <v>372.8</v>
      </c>
      <c r="E26" s="20">
        <f t="shared" ref="E26:H26" si="1">E27+E28</f>
        <v>727.7</v>
      </c>
      <c r="F26" s="20">
        <f t="shared" si="1"/>
        <v>500.2</v>
      </c>
      <c r="G26" s="20">
        <f t="shared" si="1"/>
        <v>1328.6</v>
      </c>
      <c r="H26" s="20">
        <f t="shared" si="1"/>
        <v>2456.6</v>
      </c>
    </row>
    <row r="27" spans="3:8" x14ac:dyDescent="0.3">
      <c r="C27" s="20" t="s">
        <v>50</v>
      </c>
      <c r="D27" s="20">
        <v>0.5</v>
      </c>
      <c r="E27" s="20">
        <v>0.1</v>
      </c>
      <c r="F27" s="20">
        <v>0.7</v>
      </c>
      <c r="G27" s="20">
        <v>2.8</v>
      </c>
      <c r="H27" s="20">
        <v>52.1</v>
      </c>
    </row>
    <row r="28" spans="3:8" x14ac:dyDescent="0.3">
      <c r="C28" s="24" t="s">
        <v>51</v>
      </c>
      <c r="D28" s="20">
        <f>D31+D29</f>
        <v>372.29999999999995</v>
      </c>
      <c r="E28" s="20">
        <f t="shared" ref="E28:H28" si="2">E31+E29</f>
        <v>727.6</v>
      </c>
      <c r="F28" s="20">
        <f t="shared" si="2"/>
        <v>499.5</v>
      </c>
      <c r="G28" s="20">
        <f t="shared" si="2"/>
        <v>1325.8</v>
      </c>
      <c r="H28" s="20">
        <f t="shared" si="2"/>
        <v>2404.5</v>
      </c>
    </row>
    <row r="29" spans="3:8" x14ac:dyDescent="0.3">
      <c r="C29" s="20" t="s">
        <v>52</v>
      </c>
      <c r="D29" s="20">
        <v>118.1</v>
      </c>
      <c r="E29" s="20">
        <v>158</v>
      </c>
      <c r="F29" s="20">
        <v>177.9</v>
      </c>
      <c r="G29" s="20">
        <v>477.3</v>
      </c>
      <c r="H29" s="20">
        <v>865.1</v>
      </c>
    </row>
    <row r="30" spans="3:8" ht="15" thickBot="1" x14ac:dyDescent="0.35">
      <c r="C30" s="20"/>
      <c r="D30" s="20"/>
      <c r="E30" s="20"/>
      <c r="F30" s="20"/>
      <c r="G30" s="20"/>
      <c r="H30" s="20"/>
    </row>
    <row r="31" spans="3:8" ht="15" thickBot="1" x14ac:dyDescent="0.35">
      <c r="C31" s="25" t="s">
        <v>53</v>
      </c>
      <c r="D31" s="25">
        <v>254.2</v>
      </c>
      <c r="E31" s="25">
        <v>569.6</v>
      </c>
      <c r="F31" s="25">
        <v>321.60000000000002</v>
      </c>
      <c r="G31" s="25">
        <v>848.5</v>
      </c>
      <c r="H31" s="25">
        <v>1539.4</v>
      </c>
    </row>
  </sheetData>
  <mergeCells count="1">
    <mergeCell ref="C4:H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F265-10D2-4987-BDE0-2E790E435857}">
  <sheetPr codeName="Sheet3"/>
  <dimension ref="C4:H27"/>
  <sheetViews>
    <sheetView zoomScale="71" workbookViewId="0">
      <selection activeCell="K4" sqref="K4"/>
    </sheetView>
  </sheetViews>
  <sheetFormatPr defaultRowHeight="14.4" x14ac:dyDescent="0.3"/>
  <cols>
    <col min="3" max="3" width="42" bestFit="1" customWidth="1"/>
    <col min="4" max="8" width="14" customWidth="1"/>
  </cols>
  <sheetData>
    <row r="4" spans="3:8" ht="21" x14ac:dyDescent="0.4">
      <c r="C4" s="89" t="s">
        <v>83</v>
      </c>
      <c r="D4" s="89"/>
      <c r="E4" s="89"/>
      <c r="F4" s="89"/>
      <c r="G4" s="89"/>
      <c r="H4" s="89"/>
    </row>
    <row r="5" spans="3:8" ht="15" thickBot="1" x14ac:dyDescent="0.35"/>
    <row r="6" spans="3:8" ht="15" thickBot="1" x14ac:dyDescent="0.35">
      <c r="C6" s="27" t="s">
        <v>54</v>
      </c>
      <c r="D6" s="27">
        <v>2015</v>
      </c>
      <c r="E6" s="27">
        <v>2016</v>
      </c>
      <c r="F6" s="27">
        <v>2017</v>
      </c>
      <c r="G6" s="27">
        <v>2018</v>
      </c>
      <c r="H6" s="27">
        <v>2019</v>
      </c>
    </row>
    <row r="7" spans="3:8" x14ac:dyDescent="0.3">
      <c r="C7" s="28" t="s">
        <v>18</v>
      </c>
      <c r="D7" s="28">
        <v>50</v>
      </c>
      <c r="E7" s="28">
        <v>50</v>
      </c>
      <c r="F7" s="28">
        <v>50</v>
      </c>
      <c r="G7" s="28">
        <v>50</v>
      </c>
      <c r="H7" s="28">
        <v>50</v>
      </c>
    </row>
    <row r="8" spans="3:8" x14ac:dyDescent="0.3">
      <c r="C8" s="29" t="s">
        <v>19</v>
      </c>
      <c r="D8" s="29">
        <v>862.7</v>
      </c>
      <c r="E8" s="29">
        <v>1432.3</v>
      </c>
      <c r="F8" s="29">
        <v>1753.9</v>
      </c>
      <c r="G8" s="29">
        <v>2194.9</v>
      </c>
      <c r="H8" s="29">
        <v>3707.1</v>
      </c>
    </row>
    <row r="9" spans="3:8" x14ac:dyDescent="0.3">
      <c r="C9" s="29" t="s">
        <v>55</v>
      </c>
      <c r="D9" s="29">
        <v>68</v>
      </c>
      <c r="E9" s="29">
        <v>133.39999999999964</v>
      </c>
      <c r="F9" s="29">
        <v>371.80000000000018</v>
      </c>
      <c r="G9" s="29">
        <v>87.800000000000182</v>
      </c>
      <c r="H9" s="29">
        <v>872.80000000000291</v>
      </c>
    </row>
    <row r="10" spans="3:8" x14ac:dyDescent="0.3">
      <c r="C10" s="29" t="s">
        <v>56</v>
      </c>
      <c r="D10" s="29">
        <v>555.79999999999995</v>
      </c>
      <c r="E10" s="29">
        <v>331.1</v>
      </c>
      <c r="F10" s="29">
        <v>361.7</v>
      </c>
      <c r="G10" s="29">
        <v>581.1</v>
      </c>
      <c r="H10" s="29">
        <v>1111.4000000000001</v>
      </c>
    </row>
    <row r="11" spans="3:8" x14ac:dyDescent="0.3">
      <c r="C11" s="30" t="s">
        <v>57</v>
      </c>
      <c r="D11" s="30">
        <v>4399.7999999999993</v>
      </c>
      <c r="E11" s="30">
        <v>7112</v>
      </c>
      <c r="F11" s="30">
        <v>6403.3</v>
      </c>
      <c r="G11" s="30">
        <v>8021.8000000000011</v>
      </c>
      <c r="H11" s="30">
        <v>15198.600000000002</v>
      </c>
    </row>
    <row r="12" spans="3:8" x14ac:dyDescent="0.3">
      <c r="C12" s="29" t="s">
        <v>58</v>
      </c>
      <c r="D12" s="29">
        <v>150.19999999999999</v>
      </c>
      <c r="E12" s="29">
        <v>75</v>
      </c>
      <c r="F12" s="29">
        <v>89</v>
      </c>
      <c r="G12" s="29">
        <v>120.4</v>
      </c>
      <c r="H12" s="29">
        <v>56.3</v>
      </c>
    </row>
    <row r="13" spans="3:8" x14ac:dyDescent="0.3">
      <c r="C13" s="29" t="s">
        <v>59</v>
      </c>
      <c r="D13" s="29">
        <v>211.5</v>
      </c>
      <c r="E13" s="29"/>
      <c r="F13" s="29">
        <v>443.2</v>
      </c>
      <c r="G13" s="29">
        <v>213.1</v>
      </c>
      <c r="H13" s="29"/>
    </row>
    <row r="14" spans="3:8" x14ac:dyDescent="0.3">
      <c r="C14" s="29" t="s">
        <v>60</v>
      </c>
      <c r="D14" s="29">
        <v>0.3</v>
      </c>
      <c r="E14" s="29">
        <v>186.5</v>
      </c>
      <c r="F14" s="29">
        <v>217.5</v>
      </c>
      <c r="G14" s="29">
        <v>361</v>
      </c>
      <c r="H14" s="29">
        <v>20.3</v>
      </c>
    </row>
    <row r="15" spans="3:8" x14ac:dyDescent="0.3">
      <c r="C15" s="29" t="s">
        <v>61</v>
      </c>
      <c r="D15" s="29">
        <v>768.8</v>
      </c>
      <c r="E15" s="29">
        <v>996.1</v>
      </c>
      <c r="F15" s="29">
        <v>1043.5999999999999</v>
      </c>
      <c r="G15" s="29">
        <v>1217.8</v>
      </c>
      <c r="H15" s="29">
        <v>1741.4</v>
      </c>
    </row>
    <row r="16" spans="3:8" x14ac:dyDescent="0.3">
      <c r="C16" s="29" t="s">
        <v>7</v>
      </c>
      <c r="D16" s="29">
        <v>1217</v>
      </c>
      <c r="E16" s="29">
        <v>1576.5000000000002</v>
      </c>
      <c r="F16" s="29">
        <v>2104.8000000000002</v>
      </c>
      <c r="G16" s="29">
        <v>2399.1999999999998</v>
      </c>
      <c r="H16" s="29">
        <v>3863.9000000000005</v>
      </c>
    </row>
    <row r="17" spans="3:8" x14ac:dyDescent="0.3">
      <c r="C17" s="29" t="s">
        <v>62</v>
      </c>
      <c r="D17" s="29">
        <v>508.7</v>
      </c>
      <c r="E17" s="29">
        <v>657.9</v>
      </c>
      <c r="F17" s="29">
        <v>345.4</v>
      </c>
      <c r="G17" s="29">
        <v>502.4</v>
      </c>
      <c r="H17" s="29">
        <v>144.9</v>
      </c>
    </row>
    <row r="18" spans="3:8" x14ac:dyDescent="0.3">
      <c r="C18" s="29" t="s">
        <v>63</v>
      </c>
      <c r="D18" s="29">
        <v>120</v>
      </c>
      <c r="E18" s="29">
        <v>165.2</v>
      </c>
      <c r="F18" s="29">
        <v>154.80000000000001</v>
      </c>
      <c r="G18" s="29">
        <v>160</v>
      </c>
      <c r="H18" s="29">
        <v>123.2</v>
      </c>
    </row>
    <row r="19" spans="3:8" x14ac:dyDescent="0.3">
      <c r="C19" s="29" t="s">
        <v>64</v>
      </c>
      <c r="D19" s="29">
        <v>1706.5</v>
      </c>
      <c r="E19" s="29">
        <v>2277.6999999999998</v>
      </c>
      <c r="F19" s="29">
        <v>1921.8</v>
      </c>
      <c r="G19" s="29">
        <v>3493.1</v>
      </c>
      <c r="H19" s="29">
        <v>5758.3</v>
      </c>
    </row>
    <row r="20" spans="3:8" x14ac:dyDescent="0.3">
      <c r="C20" s="29" t="s">
        <v>65</v>
      </c>
      <c r="D20" s="29">
        <v>529.9</v>
      </c>
      <c r="E20" s="29">
        <v>2228</v>
      </c>
      <c r="F20" s="29">
        <v>1283.8</v>
      </c>
      <c r="G20" s="29">
        <v>1116.8</v>
      </c>
      <c r="H20" s="29">
        <v>5120.1000000000004</v>
      </c>
    </row>
    <row r="21" spans="3:8" x14ac:dyDescent="0.3">
      <c r="C21" s="29" t="s">
        <v>15</v>
      </c>
      <c r="D21" s="29">
        <v>3182.8</v>
      </c>
      <c r="E21" s="29">
        <v>5535.5</v>
      </c>
      <c r="F21" s="29">
        <v>4298.5</v>
      </c>
      <c r="G21" s="29">
        <v>5622.6</v>
      </c>
      <c r="H21" s="29">
        <v>11334.7</v>
      </c>
    </row>
    <row r="22" spans="3:8" x14ac:dyDescent="0.3">
      <c r="C22" s="29" t="s">
        <v>34</v>
      </c>
      <c r="D22" s="29">
        <v>6584.6</v>
      </c>
      <c r="E22" s="29">
        <v>8939.1</v>
      </c>
      <c r="F22" s="29">
        <v>11059.5</v>
      </c>
      <c r="G22" s="29">
        <v>13788.1</v>
      </c>
      <c r="H22" s="29">
        <v>19059.7</v>
      </c>
    </row>
    <row r="23" spans="3:8" x14ac:dyDescent="0.3">
      <c r="C23" s="29" t="s">
        <v>66</v>
      </c>
      <c r="D23" s="29">
        <v>123.9</v>
      </c>
      <c r="E23" s="29">
        <v>129</v>
      </c>
      <c r="F23" s="29">
        <v>172.2</v>
      </c>
      <c r="G23" s="29">
        <v>219.2</v>
      </c>
      <c r="H23" s="29">
        <v>382.3</v>
      </c>
    </row>
    <row r="24" spans="3:8" x14ac:dyDescent="0.3">
      <c r="C24" s="29" t="s">
        <v>48</v>
      </c>
      <c r="D24" s="29">
        <v>6330.4</v>
      </c>
      <c r="E24" s="29">
        <v>8369.5</v>
      </c>
      <c r="F24" s="29">
        <v>10737.9</v>
      </c>
      <c r="G24" s="29">
        <v>12939.6</v>
      </c>
      <c r="H24" s="29">
        <v>17520.3</v>
      </c>
    </row>
    <row r="25" spans="3:8" x14ac:dyDescent="0.3">
      <c r="C25" s="30" t="s">
        <v>51</v>
      </c>
      <c r="D25" s="30">
        <v>372.29999999999995</v>
      </c>
      <c r="E25" s="30">
        <v>727.6</v>
      </c>
      <c r="F25" s="30">
        <v>499.5</v>
      </c>
      <c r="G25" s="30">
        <v>1325.8</v>
      </c>
      <c r="H25" s="30">
        <v>2404.5</v>
      </c>
    </row>
    <row r="26" spans="3:8" x14ac:dyDescent="0.3">
      <c r="C26" s="30" t="s">
        <v>52</v>
      </c>
      <c r="D26" s="30">
        <v>118.1</v>
      </c>
      <c r="E26" s="30">
        <v>158</v>
      </c>
      <c r="F26" s="30">
        <v>177.9</v>
      </c>
      <c r="G26" s="30">
        <v>477.3</v>
      </c>
      <c r="H26" s="30">
        <v>865.1</v>
      </c>
    </row>
    <row r="27" spans="3:8" ht="15" thickBot="1" x14ac:dyDescent="0.35">
      <c r="C27" s="31" t="s">
        <v>53</v>
      </c>
      <c r="D27" s="31">
        <v>254.2</v>
      </c>
      <c r="E27" s="31">
        <v>569.6</v>
      </c>
      <c r="F27" s="31">
        <v>321.60000000000002</v>
      </c>
      <c r="G27" s="31">
        <v>848.5</v>
      </c>
      <c r="H27" s="31">
        <v>1539.4</v>
      </c>
    </row>
  </sheetData>
  <mergeCells count="1">
    <mergeCell ref="C4:H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48403-6E2D-4AC4-B78F-54143AA773AF}">
  <sheetPr codeName="Sheet4"/>
  <dimension ref="B3:M61"/>
  <sheetViews>
    <sheetView zoomScale="73" workbookViewId="0">
      <selection activeCell="L74" sqref="L74"/>
    </sheetView>
  </sheetViews>
  <sheetFormatPr defaultRowHeight="14.4" x14ac:dyDescent="0.3"/>
  <cols>
    <col min="2" max="2" width="16.33203125" customWidth="1"/>
    <col min="3" max="3" width="42.5546875" customWidth="1"/>
    <col min="12" max="12" width="38.88671875" bestFit="1" customWidth="1"/>
    <col min="13" max="13" width="12.5546875" customWidth="1"/>
  </cols>
  <sheetData>
    <row r="3" spans="3:8" ht="23.4" x14ac:dyDescent="0.45">
      <c r="C3" s="70" t="s">
        <v>71</v>
      </c>
    </row>
    <row r="5" spans="3:8" ht="15" thickBot="1" x14ac:dyDescent="0.35"/>
    <row r="6" spans="3:8" ht="15" thickBot="1" x14ac:dyDescent="0.35">
      <c r="C6" s="27" t="s">
        <v>54</v>
      </c>
      <c r="D6" s="27">
        <v>2015</v>
      </c>
      <c r="E6" s="27">
        <v>2016</v>
      </c>
      <c r="F6" s="27">
        <v>2017</v>
      </c>
      <c r="G6" s="27">
        <v>2018</v>
      </c>
      <c r="H6" s="27">
        <v>2019</v>
      </c>
    </row>
    <row r="7" spans="3:8" x14ac:dyDescent="0.3">
      <c r="C7" s="28" t="s">
        <v>18</v>
      </c>
      <c r="D7" s="28">
        <v>50</v>
      </c>
      <c r="E7" s="28">
        <v>50</v>
      </c>
      <c r="F7" s="28">
        <v>50</v>
      </c>
      <c r="G7" s="28">
        <v>50</v>
      </c>
      <c r="H7" s="28">
        <v>50</v>
      </c>
    </row>
    <row r="8" spans="3:8" x14ac:dyDescent="0.3">
      <c r="C8" s="29" t="s">
        <v>19</v>
      </c>
      <c r="D8" s="29">
        <v>862.7</v>
      </c>
      <c r="E8" s="29">
        <v>1432.3</v>
      </c>
      <c r="F8" s="29">
        <v>1753.9</v>
      </c>
      <c r="G8" s="29">
        <v>2194.9</v>
      </c>
      <c r="H8" s="29">
        <v>3707.1</v>
      </c>
    </row>
    <row r="9" spans="3:8" x14ac:dyDescent="0.3">
      <c r="C9" s="29" t="s">
        <v>55</v>
      </c>
      <c r="D9" s="29">
        <v>68</v>
      </c>
      <c r="E9" s="29">
        <v>133.39999999999964</v>
      </c>
      <c r="F9" s="29">
        <v>371.80000000000018</v>
      </c>
      <c r="G9" s="29">
        <v>87.800000000000182</v>
      </c>
      <c r="H9" s="29">
        <v>872.80000000000291</v>
      </c>
    </row>
    <row r="10" spans="3:8" x14ac:dyDescent="0.3">
      <c r="C10" s="29" t="s">
        <v>56</v>
      </c>
      <c r="D10" s="29">
        <v>555.79999999999995</v>
      </c>
      <c r="E10" s="29">
        <v>331.1</v>
      </c>
      <c r="F10" s="29">
        <v>361.7</v>
      </c>
      <c r="G10" s="29">
        <v>581.1</v>
      </c>
      <c r="H10" s="29">
        <v>1111.4000000000001</v>
      </c>
    </row>
    <row r="11" spans="3:8" x14ac:dyDescent="0.3">
      <c r="C11" s="30" t="s">
        <v>57</v>
      </c>
      <c r="D11" s="30">
        <v>4399.7999999999993</v>
      </c>
      <c r="E11" s="30">
        <v>7112</v>
      </c>
      <c r="F11" s="30">
        <v>6403.3</v>
      </c>
      <c r="G11" s="30">
        <v>8021.8000000000011</v>
      </c>
      <c r="H11" s="30">
        <v>15198.600000000002</v>
      </c>
    </row>
    <row r="12" spans="3:8" x14ac:dyDescent="0.3">
      <c r="C12" s="29" t="s">
        <v>58</v>
      </c>
      <c r="D12" s="29">
        <v>150.19999999999999</v>
      </c>
      <c r="E12" s="29">
        <v>75</v>
      </c>
      <c r="F12" s="29">
        <v>89</v>
      </c>
      <c r="G12" s="29">
        <v>120.4</v>
      </c>
      <c r="H12" s="29">
        <v>56.3</v>
      </c>
    </row>
    <row r="13" spans="3:8" x14ac:dyDescent="0.3">
      <c r="C13" s="29" t="s">
        <v>59</v>
      </c>
      <c r="D13" s="29">
        <v>211.5</v>
      </c>
      <c r="E13" s="29"/>
      <c r="F13" s="29">
        <v>443.2</v>
      </c>
      <c r="G13" s="29">
        <v>213.1</v>
      </c>
      <c r="H13" s="29"/>
    </row>
    <row r="14" spans="3:8" x14ac:dyDescent="0.3">
      <c r="C14" s="29" t="s">
        <v>60</v>
      </c>
      <c r="D14" s="29">
        <v>0.3</v>
      </c>
      <c r="E14" s="29">
        <v>186.5</v>
      </c>
      <c r="F14" s="29">
        <v>217.5</v>
      </c>
      <c r="G14" s="29">
        <v>361</v>
      </c>
      <c r="H14" s="29">
        <v>20.3</v>
      </c>
    </row>
    <row r="15" spans="3:8" x14ac:dyDescent="0.3">
      <c r="C15" s="29" t="s">
        <v>61</v>
      </c>
      <c r="D15" s="29">
        <v>768.8</v>
      </c>
      <c r="E15" s="29">
        <v>996.1</v>
      </c>
      <c r="F15" s="29">
        <v>1043.5999999999999</v>
      </c>
      <c r="G15" s="29">
        <v>1217.8</v>
      </c>
      <c r="H15" s="29">
        <v>1741.4</v>
      </c>
    </row>
    <row r="16" spans="3:8" x14ac:dyDescent="0.3">
      <c r="C16" s="29" t="s">
        <v>7</v>
      </c>
      <c r="D16" s="29">
        <v>1217</v>
      </c>
      <c r="E16" s="29">
        <v>1576.5000000000002</v>
      </c>
      <c r="F16" s="29">
        <v>2104.8000000000002</v>
      </c>
      <c r="G16" s="29">
        <v>2399.1999999999998</v>
      </c>
      <c r="H16" s="29">
        <v>3863.9000000000005</v>
      </c>
    </row>
    <row r="17" spans="3:8" x14ac:dyDescent="0.3">
      <c r="C17" s="29" t="s">
        <v>62</v>
      </c>
      <c r="D17" s="29">
        <v>508.7</v>
      </c>
      <c r="E17" s="29">
        <v>657.9</v>
      </c>
      <c r="F17" s="29">
        <v>345.4</v>
      </c>
      <c r="G17" s="29">
        <v>502.4</v>
      </c>
      <c r="H17" s="29">
        <v>144.9</v>
      </c>
    </row>
    <row r="18" spans="3:8" x14ac:dyDescent="0.3">
      <c r="C18" s="29" t="s">
        <v>63</v>
      </c>
      <c r="D18" s="29">
        <v>120</v>
      </c>
      <c r="E18" s="29">
        <v>165.2</v>
      </c>
      <c r="F18" s="29">
        <v>154.80000000000001</v>
      </c>
      <c r="G18" s="29">
        <v>160</v>
      </c>
      <c r="H18" s="29">
        <v>123.2</v>
      </c>
    </row>
    <row r="19" spans="3:8" x14ac:dyDescent="0.3">
      <c r="C19" s="29" t="s">
        <v>64</v>
      </c>
      <c r="D19" s="29">
        <v>1706.5</v>
      </c>
      <c r="E19" s="29">
        <v>2277.6999999999998</v>
      </c>
      <c r="F19" s="29">
        <v>1921.8</v>
      </c>
      <c r="G19" s="29">
        <v>3493.1</v>
      </c>
      <c r="H19" s="29">
        <v>5758.3</v>
      </c>
    </row>
    <row r="20" spans="3:8" x14ac:dyDescent="0.3">
      <c r="C20" s="29" t="s">
        <v>65</v>
      </c>
      <c r="D20" s="29">
        <v>529.9</v>
      </c>
      <c r="E20" s="29">
        <v>2228</v>
      </c>
      <c r="F20" s="29">
        <v>1283.8</v>
      </c>
      <c r="G20" s="29">
        <v>1116.8</v>
      </c>
      <c r="H20" s="29">
        <v>5120.1000000000004</v>
      </c>
    </row>
    <row r="21" spans="3:8" x14ac:dyDescent="0.3">
      <c r="C21" s="29" t="s">
        <v>15</v>
      </c>
      <c r="D21" s="29">
        <v>3182.8</v>
      </c>
      <c r="E21" s="29">
        <v>5535.5</v>
      </c>
      <c r="F21" s="29">
        <v>4298.5</v>
      </c>
      <c r="G21" s="29">
        <v>5622.6</v>
      </c>
      <c r="H21" s="29">
        <v>11334.7</v>
      </c>
    </row>
    <row r="22" spans="3:8" x14ac:dyDescent="0.3">
      <c r="C22" s="29" t="s">
        <v>34</v>
      </c>
      <c r="D22" s="29">
        <v>6584.6</v>
      </c>
      <c r="E22" s="29">
        <v>8939.1</v>
      </c>
      <c r="F22" s="29">
        <v>11059.5</v>
      </c>
      <c r="G22" s="29">
        <v>13788.1</v>
      </c>
      <c r="H22" s="29">
        <v>19059.7</v>
      </c>
    </row>
    <row r="23" spans="3:8" x14ac:dyDescent="0.3">
      <c r="C23" s="29" t="s">
        <v>66</v>
      </c>
      <c r="D23" s="29">
        <v>123.9</v>
      </c>
      <c r="E23" s="29">
        <v>129</v>
      </c>
      <c r="F23" s="29">
        <v>172.2</v>
      </c>
      <c r="G23" s="29">
        <v>219.2</v>
      </c>
      <c r="H23" s="29">
        <v>382.3</v>
      </c>
    </row>
    <row r="24" spans="3:8" x14ac:dyDescent="0.3">
      <c r="C24" s="29" t="s">
        <v>48</v>
      </c>
      <c r="D24" s="29">
        <v>6330.4</v>
      </c>
      <c r="E24" s="29">
        <v>8369.5</v>
      </c>
      <c r="F24" s="29">
        <v>10737.9</v>
      </c>
      <c r="G24" s="29">
        <v>12939.6</v>
      </c>
      <c r="H24" s="29">
        <v>17520.3</v>
      </c>
    </row>
    <row r="25" spans="3:8" x14ac:dyDescent="0.3">
      <c r="C25" s="30" t="s">
        <v>51</v>
      </c>
      <c r="D25" s="30">
        <v>372.29999999999995</v>
      </c>
      <c r="E25" s="30">
        <v>727.6</v>
      </c>
      <c r="F25" s="30">
        <v>499.5</v>
      </c>
      <c r="G25" s="30">
        <v>1325.8</v>
      </c>
      <c r="H25" s="30">
        <v>2404.5</v>
      </c>
    </row>
    <row r="26" spans="3:8" x14ac:dyDescent="0.3">
      <c r="C26" s="30" t="s">
        <v>52</v>
      </c>
      <c r="D26" s="30">
        <v>118.1</v>
      </c>
      <c r="E26" s="30">
        <v>158</v>
      </c>
      <c r="F26" s="30">
        <v>177.9</v>
      </c>
      <c r="G26" s="30">
        <v>477.3</v>
      </c>
      <c r="H26" s="30">
        <v>865.1</v>
      </c>
    </row>
    <row r="27" spans="3:8" ht="15" thickBot="1" x14ac:dyDescent="0.35">
      <c r="C27" s="31" t="s">
        <v>53</v>
      </c>
      <c r="D27" s="31">
        <v>254.2</v>
      </c>
      <c r="E27" s="31">
        <v>569.6</v>
      </c>
      <c r="F27" s="31">
        <v>321.60000000000002</v>
      </c>
      <c r="G27" s="31">
        <v>848.5</v>
      </c>
      <c r="H27" s="31">
        <v>1539.4</v>
      </c>
    </row>
    <row r="31" spans="3:8" ht="23.4" x14ac:dyDescent="0.45">
      <c r="C31" s="70" t="s">
        <v>67</v>
      </c>
    </row>
    <row r="32" spans="3:8" ht="15" thickBot="1" x14ac:dyDescent="0.35">
      <c r="C32" s="35"/>
    </row>
    <row r="33" spans="3:13" ht="15" thickBot="1" x14ac:dyDescent="0.35">
      <c r="C33" s="27" t="s">
        <v>54</v>
      </c>
      <c r="D33" s="27">
        <v>2015</v>
      </c>
      <c r="E33" s="27">
        <v>2016</v>
      </c>
      <c r="F33" s="27">
        <v>2017</v>
      </c>
      <c r="G33" s="27">
        <v>2018</v>
      </c>
      <c r="H33" s="27">
        <v>2019</v>
      </c>
      <c r="L33" t="s">
        <v>54</v>
      </c>
      <c r="M33" t="s">
        <v>68</v>
      </c>
    </row>
    <row r="34" spans="3:13" x14ac:dyDescent="0.3">
      <c r="C34" s="28" t="s">
        <v>18</v>
      </c>
      <c r="D34" s="36">
        <f>D7/$D7*100</f>
        <v>100</v>
      </c>
      <c r="E34" s="36">
        <f t="shared" ref="E34:H34" si="0">E7/$D7*100</f>
        <v>100</v>
      </c>
      <c r="F34" s="36">
        <f t="shared" si="0"/>
        <v>100</v>
      </c>
      <c r="G34" s="36">
        <f t="shared" si="0"/>
        <v>100</v>
      </c>
      <c r="H34" s="36">
        <f t="shared" si="0"/>
        <v>100</v>
      </c>
      <c r="L34" t="s">
        <v>18</v>
      </c>
      <c r="M34">
        <v>1</v>
      </c>
    </row>
    <row r="35" spans="3:13" x14ac:dyDescent="0.3">
      <c r="C35" s="29" t="s">
        <v>19</v>
      </c>
      <c r="D35" s="26">
        <f t="shared" ref="D35:H54" si="1">D8/$D8*100</f>
        <v>100</v>
      </c>
      <c r="E35" s="26">
        <f t="shared" si="1"/>
        <v>166.02526950272397</v>
      </c>
      <c r="F35" s="26">
        <f t="shared" si="1"/>
        <v>203.30358177813838</v>
      </c>
      <c r="G35" s="26">
        <f t="shared" si="1"/>
        <v>254.42216297670103</v>
      </c>
      <c r="H35" s="26">
        <f t="shared" si="1"/>
        <v>429.70905297322355</v>
      </c>
      <c r="L35" t="s">
        <v>19</v>
      </c>
      <c r="M35">
        <v>2</v>
      </c>
    </row>
    <row r="36" spans="3:13" x14ac:dyDescent="0.3">
      <c r="C36" s="29" t="s">
        <v>55</v>
      </c>
      <c r="D36" s="26">
        <f t="shared" si="1"/>
        <v>100</v>
      </c>
      <c r="E36" s="26">
        <f t="shared" si="1"/>
        <v>196.17647058823476</v>
      </c>
      <c r="F36" s="26">
        <f t="shared" si="1"/>
        <v>546.76470588235327</v>
      </c>
      <c r="G36" s="26">
        <f t="shared" si="1"/>
        <v>129.11764705882379</v>
      </c>
      <c r="H36" s="26">
        <f t="shared" si="1"/>
        <v>1283.5294117647102</v>
      </c>
      <c r="L36" t="s">
        <v>55</v>
      </c>
      <c r="M36">
        <v>3</v>
      </c>
    </row>
    <row r="37" spans="3:13" x14ac:dyDescent="0.3">
      <c r="C37" s="29" t="s">
        <v>56</v>
      </c>
      <c r="D37" s="26">
        <f t="shared" si="1"/>
        <v>100</v>
      </c>
      <c r="E37" s="26">
        <f t="shared" si="1"/>
        <v>59.571788413098247</v>
      </c>
      <c r="F37" s="26">
        <f t="shared" si="1"/>
        <v>65.077365958978049</v>
      </c>
      <c r="G37" s="26">
        <f t="shared" si="1"/>
        <v>104.55199712126667</v>
      </c>
      <c r="H37" s="26">
        <f t="shared" si="1"/>
        <v>199.9640158330335</v>
      </c>
      <c r="L37" t="s">
        <v>56</v>
      </c>
      <c r="M37">
        <v>4</v>
      </c>
    </row>
    <row r="38" spans="3:13" x14ac:dyDescent="0.3">
      <c r="C38" s="30" t="s">
        <v>57</v>
      </c>
      <c r="D38" s="26">
        <f t="shared" si="1"/>
        <v>100</v>
      </c>
      <c r="E38" s="26">
        <f t="shared" si="1"/>
        <v>161.64371107777629</v>
      </c>
      <c r="F38" s="26">
        <f t="shared" si="1"/>
        <v>145.53616073457886</v>
      </c>
      <c r="G38" s="26">
        <f t="shared" si="1"/>
        <v>182.3219237238057</v>
      </c>
      <c r="H38" s="26">
        <f t="shared" si="1"/>
        <v>345.43842901950097</v>
      </c>
      <c r="L38" t="s">
        <v>57</v>
      </c>
      <c r="M38">
        <v>5</v>
      </c>
    </row>
    <row r="39" spans="3:13" x14ac:dyDescent="0.3">
      <c r="C39" s="29" t="s">
        <v>58</v>
      </c>
      <c r="D39" s="26">
        <f t="shared" si="1"/>
        <v>100</v>
      </c>
      <c r="E39" s="26">
        <f t="shared" si="1"/>
        <v>49.933422103861524</v>
      </c>
      <c r="F39" s="26">
        <f t="shared" si="1"/>
        <v>59.254327563249007</v>
      </c>
      <c r="G39" s="26">
        <f t="shared" si="1"/>
        <v>80.159786950732368</v>
      </c>
      <c r="H39" s="26">
        <f t="shared" si="1"/>
        <v>37.483355525965379</v>
      </c>
      <c r="L39" t="s">
        <v>58</v>
      </c>
      <c r="M39">
        <v>6</v>
      </c>
    </row>
    <row r="40" spans="3:13" x14ac:dyDescent="0.3">
      <c r="C40" s="29" t="s">
        <v>59</v>
      </c>
      <c r="D40" s="26">
        <f t="shared" si="1"/>
        <v>100</v>
      </c>
      <c r="E40" s="26">
        <f t="shared" si="1"/>
        <v>0</v>
      </c>
      <c r="F40" s="26">
        <f t="shared" si="1"/>
        <v>209.55082742316785</v>
      </c>
      <c r="G40" s="26">
        <f t="shared" si="1"/>
        <v>100.75650118203311</v>
      </c>
      <c r="H40" s="26">
        <f t="shared" si="1"/>
        <v>0</v>
      </c>
      <c r="L40" t="s">
        <v>59</v>
      </c>
      <c r="M40">
        <v>7</v>
      </c>
    </row>
    <row r="41" spans="3:13" x14ac:dyDescent="0.3">
      <c r="C41" s="29" t="s">
        <v>60</v>
      </c>
      <c r="D41" s="26">
        <f t="shared" si="1"/>
        <v>100</v>
      </c>
      <c r="E41" s="26">
        <f t="shared" si="1"/>
        <v>62166.666666666672</v>
      </c>
      <c r="F41" s="26">
        <f t="shared" si="1"/>
        <v>72500</v>
      </c>
      <c r="G41" s="26">
        <f t="shared" si="1"/>
        <v>120333.33333333334</v>
      </c>
      <c r="H41" s="26">
        <f t="shared" si="1"/>
        <v>6766.666666666667</v>
      </c>
      <c r="L41" t="s">
        <v>60</v>
      </c>
      <c r="M41">
        <v>8</v>
      </c>
    </row>
    <row r="42" spans="3:13" x14ac:dyDescent="0.3">
      <c r="C42" s="29" t="s">
        <v>61</v>
      </c>
      <c r="D42" s="26">
        <f t="shared" si="1"/>
        <v>100</v>
      </c>
      <c r="E42" s="26">
        <f t="shared" si="1"/>
        <v>129.5655567117586</v>
      </c>
      <c r="F42" s="26">
        <f t="shared" si="1"/>
        <v>135.74401664932361</v>
      </c>
      <c r="G42" s="26">
        <f t="shared" si="1"/>
        <v>158.40270551508846</v>
      </c>
      <c r="H42" s="26">
        <f t="shared" si="1"/>
        <v>226.50884495317379</v>
      </c>
      <c r="L42" t="s">
        <v>61</v>
      </c>
      <c r="M42">
        <v>9</v>
      </c>
    </row>
    <row r="43" spans="3:13" x14ac:dyDescent="0.3">
      <c r="C43" s="29" t="s">
        <v>7</v>
      </c>
      <c r="D43" s="26">
        <f t="shared" si="1"/>
        <v>100</v>
      </c>
      <c r="E43" s="26">
        <f t="shared" si="1"/>
        <v>129.53985209531638</v>
      </c>
      <c r="F43" s="26">
        <f t="shared" si="1"/>
        <v>172.94987674609698</v>
      </c>
      <c r="G43" s="26">
        <f t="shared" si="1"/>
        <v>197.1405094494659</v>
      </c>
      <c r="H43" s="26">
        <f t="shared" si="1"/>
        <v>317.493837304848</v>
      </c>
      <c r="L43" t="s">
        <v>7</v>
      </c>
      <c r="M43">
        <v>10</v>
      </c>
    </row>
    <row r="44" spans="3:13" x14ac:dyDescent="0.3">
      <c r="C44" s="29" t="s">
        <v>62</v>
      </c>
      <c r="D44" s="26">
        <f t="shared" si="1"/>
        <v>100</v>
      </c>
      <c r="E44" s="26">
        <f t="shared" si="1"/>
        <v>129.32966384902693</v>
      </c>
      <c r="F44" s="26">
        <f t="shared" si="1"/>
        <v>67.89856496953017</v>
      </c>
      <c r="G44" s="26">
        <f t="shared" si="1"/>
        <v>98.761549046589352</v>
      </c>
      <c r="H44" s="26">
        <f t="shared" si="1"/>
        <v>28.484371928445057</v>
      </c>
      <c r="L44" t="s">
        <v>62</v>
      </c>
      <c r="M44">
        <v>11</v>
      </c>
    </row>
    <row r="45" spans="3:13" x14ac:dyDescent="0.3">
      <c r="C45" s="29" t="s">
        <v>63</v>
      </c>
      <c r="D45" s="26">
        <f t="shared" si="1"/>
        <v>100</v>
      </c>
      <c r="E45" s="26">
        <f t="shared" si="1"/>
        <v>137.66666666666666</v>
      </c>
      <c r="F45" s="26">
        <f t="shared" si="1"/>
        <v>129</v>
      </c>
      <c r="G45" s="26">
        <f t="shared" si="1"/>
        <v>133.33333333333331</v>
      </c>
      <c r="H45" s="26">
        <f t="shared" si="1"/>
        <v>102.66666666666666</v>
      </c>
      <c r="L45" t="s">
        <v>63</v>
      </c>
      <c r="M45">
        <v>12</v>
      </c>
    </row>
    <row r="46" spans="3:13" x14ac:dyDescent="0.3">
      <c r="C46" s="29" t="s">
        <v>64</v>
      </c>
      <c r="D46" s="26">
        <f t="shared" si="1"/>
        <v>100</v>
      </c>
      <c r="E46" s="26">
        <f t="shared" si="1"/>
        <v>133.4720187518312</v>
      </c>
      <c r="F46" s="26">
        <f t="shared" si="1"/>
        <v>112.61646645180193</v>
      </c>
      <c r="G46" s="26">
        <f t="shared" si="1"/>
        <v>204.6938177556402</v>
      </c>
      <c r="H46" s="26">
        <f t="shared" si="1"/>
        <v>337.43334309991212</v>
      </c>
      <c r="L46" t="s">
        <v>64</v>
      </c>
      <c r="M46">
        <v>13</v>
      </c>
    </row>
    <row r="47" spans="3:13" x14ac:dyDescent="0.3">
      <c r="C47" s="29" t="s">
        <v>65</v>
      </c>
      <c r="D47" s="26">
        <f t="shared" si="1"/>
        <v>100</v>
      </c>
      <c r="E47" s="26">
        <f t="shared" si="1"/>
        <v>420.45668994149838</v>
      </c>
      <c r="F47" s="26">
        <f t="shared" si="1"/>
        <v>242.27212681638045</v>
      </c>
      <c r="G47" s="26">
        <f t="shared" si="1"/>
        <v>210.75674655595392</v>
      </c>
      <c r="H47" s="26">
        <f t="shared" si="1"/>
        <v>966.23891300245339</v>
      </c>
      <c r="L47" t="s">
        <v>65</v>
      </c>
      <c r="M47">
        <v>14</v>
      </c>
    </row>
    <row r="48" spans="3:13" x14ac:dyDescent="0.3">
      <c r="C48" s="29" t="s">
        <v>15</v>
      </c>
      <c r="D48" s="26">
        <f t="shared" si="1"/>
        <v>100</v>
      </c>
      <c r="E48" s="26">
        <f t="shared" si="1"/>
        <v>173.91919064974235</v>
      </c>
      <c r="F48" s="26">
        <f t="shared" si="1"/>
        <v>135.05404046751289</v>
      </c>
      <c r="G48" s="26">
        <f t="shared" si="1"/>
        <v>176.65577478949353</v>
      </c>
      <c r="H48" s="26">
        <f t="shared" si="1"/>
        <v>356.12353902224459</v>
      </c>
      <c r="L48" t="s">
        <v>15</v>
      </c>
      <c r="M48">
        <v>15</v>
      </c>
    </row>
    <row r="49" spans="2:13" x14ac:dyDescent="0.3">
      <c r="C49" s="29" t="s">
        <v>34</v>
      </c>
      <c r="D49" s="26">
        <f t="shared" si="1"/>
        <v>100</v>
      </c>
      <c r="E49" s="26">
        <f t="shared" si="1"/>
        <v>135.75767700391822</v>
      </c>
      <c r="F49" s="26">
        <f t="shared" si="1"/>
        <v>167.96008869179599</v>
      </c>
      <c r="G49" s="26">
        <f t="shared" si="1"/>
        <v>209.39920420374813</v>
      </c>
      <c r="H49" s="26">
        <f t="shared" si="1"/>
        <v>289.45873705312397</v>
      </c>
      <c r="L49" t="s">
        <v>34</v>
      </c>
      <c r="M49">
        <v>16</v>
      </c>
    </row>
    <row r="50" spans="2:13" x14ac:dyDescent="0.3">
      <c r="C50" s="29" t="s">
        <v>66</v>
      </c>
      <c r="D50" s="26">
        <f t="shared" si="1"/>
        <v>100</v>
      </c>
      <c r="E50" s="26">
        <f t="shared" si="1"/>
        <v>104.11622276029055</v>
      </c>
      <c r="F50" s="26">
        <f t="shared" si="1"/>
        <v>138.9830508474576</v>
      </c>
      <c r="G50" s="26">
        <f t="shared" si="1"/>
        <v>176.91686844229216</v>
      </c>
      <c r="H50" s="26">
        <f t="shared" si="1"/>
        <v>308.55528652138821</v>
      </c>
      <c r="L50" t="s">
        <v>66</v>
      </c>
      <c r="M50">
        <v>17</v>
      </c>
    </row>
    <row r="51" spans="2:13" x14ac:dyDescent="0.3">
      <c r="C51" s="29" t="s">
        <v>48</v>
      </c>
      <c r="D51" s="26">
        <f t="shared" si="1"/>
        <v>100</v>
      </c>
      <c r="E51" s="26">
        <f t="shared" si="1"/>
        <v>132.21123467711362</v>
      </c>
      <c r="F51" s="26">
        <f t="shared" si="1"/>
        <v>169.62435233160622</v>
      </c>
      <c r="G51" s="26">
        <f t="shared" si="1"/>
        <v>204.40414507772022</v>
      </c>
      <c r="H51" s="26">
        <f t="shared" si="1"/>
        <v>276.76450145330472</v>
      </c>
      <c r="L51" t="s">
        <v>48</v>
      </c>
      <c r="M51">
        <v>18</v>
      </c>
    </row>
    <row r="52" spans="2:13" x14ac:dyDescent="0.3">
      <c r="C52" s="30" t="s">
        <v>51</v>
      </c>
      <c r="D52" s="26">
        <f t="shared" si="1"/>
        <v>100</v>
      </c>
      <c r="E52" s="26">
        <f t="shared" si="1"/>
        <v>195.43378995433793</v>
      </c>
      <c r="F52" s="26">
        <f t="shared" si="1"/>
        <v>134.1659951651894</v>
      </c>
      <c r="G52" s="26">
        <f t="shared" si="1"/>
        <v>356.1106634434596</v>
      </c>
      <c r="H52" s="26">
        <f t="shared" si="1"/>
        <v>645.85012087026598</v>
      </c>
      <c r="L52" t="s">
        <v>51</v>
      </c>
      <c r="M52">
        <v>19</v>
      </c>
    </row>
    <row r="53" spans="2:13" x14ac:dyDescent="0.3">
      <c r="C53" s="30" t="s">
        <v>52</v>
      </c>
      <c r="D53" s="26">
        <f t="shared" si="1"/>
        <v>100</v>
      </c>
      <c r="E53" s="26">
        <f t="shared" si="1"/>
        <v>133.7849280270957</v>
      </c>
      <c r="F53" s="26">
        <f t="shared" si="1"/>
        <v>150.6350550381033</v>
      </c>
      <c r="G53" s="26">
        <f t="shared" si="1"/>
        <v>404.14902624894165</v>
      </c>
      <c r="H53" s="26">
        <f t="shared" si="1"/>
        <v>732.51481795088921</v>
      </c>
      <c r="L53" t="s">
        <v>52</v>
      </c>
      <c r="M53">
        <v>20</v>
      </c>
    </row>
    <row r="54" spans="2:13" ht="15" thickBot="1" x14ac:dyDescent="0.35">
      <c r="C54" s="31" t="s">
        <v>53</v>
      </c>
      <c r="D54" s="37">
        <f t="shared" si="1"/>
        <v>100</v>
      </c>
      <c r="E54" s="37">
        <f t="shared" si="1"/>
        <v>224.07553107789141</v>
      </c>
      <c r="F54" s="37">
        <f t="shared" si="1"/>
        <v>126.51455546813534</v>
      </c>
      <c r="G54" s="37">
        <f t="shared" si="1"/>
        <v>333.7922895357986</v>
      </c>
      <c r="H54" s="37">
        <f t="shared" si="1"/>
        <v>605.58615263571994</v>
      </c>
      <c r="L54" t="s">
        <v>53</v>
      </c>
      <c r="M54">
        <v>21</v>
      </c>
    </row>
    <row r="56" spans="2:13" ht="15" thickBot="1" x14ac:dyDescent="0.35"/>
    <row r="57" spans="2:13" ht="15" thickBot="1" x14ac:dyDescent="0.35">
      <c r="B57" s="35" t="s">
        <v>69</v>
      </c>
      <c r="C57" s="45" t="s">
        <v>34</v>
      </c>
      <c r="D57" s="39">
        <v>2015</v>
      </c>
      <c r="E57" s="40">
        <v>2016</v>
      </c>
      <c r="F57" s="40">
        <v>2017</v>
      </c>
      <c r="G57" s="40">
        <v>2018</v>
      </c>
      <c r="H57" s="41">
        <v>2019</v>
      </c>
    </row>
    <row r="58" spans="2:13" ht="15" thickBot="1" x14ac:dyDescent="0.35">
      <c r="B58" s="35" t="s">
        <v>70</v>
      </c>
      <c r="C58">
        <f>VLOOKUP(C57,L34:M54,2,FALSE)</f>
        <v>16</v>
      </c>
      <c r="D58" s="42">
        <f t="array" aca="1" ref="D58:H58" ca="1">OFFSET(D33,C58,0,1,5)</f>
        <v>100</v>
      </c>
      <c r="E58" s="43">
        <f ca="1"/>
        <v>135.75767700391822</v>
      </c>
      <c r="F58" s="43">
        <f ca="1"/>
        <v>167.96008869179599</v>
      </c>
      <c r="G58" s="43">
        <f ca="1"/>
        <v>209.39920420374813</v>
      </c>
      <c r="H58" s="44">
        <f ca="1"/>
        <v>289.45873705312397</v>
      </c>
    </row>
    <row r="60" spans="2:13" x14ac:dyDescent="0.3">
      <c r="D60" s="35"/>
      <c r="E60" s="35"/>
      <c r="F60" s="35"/>
      <c r="G60" s="35"/>
      <c r="H60" s="35"/>
    </row>
    <row r="61" spans="2:13" x14ac:dyDescent="0.3">
      <c r="D61" s="35"/>
      <c r="E61" s="35"/>
      <c r="F61" s="35"/>
      <c r="G61" s="35"/>
      <c r="H61" s="35"/>
    </row>
  </sheetData>
  <dataValidations count="1">
    <dataValidation type="list" allowBlank="1" showInputMessage="1" showErrorMessage="1" sqref="C57" xr:uid="{88C48895-A459-459C-8B25-CD10D6D0A179}">
      <formula1>$C$34:$C$54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6067-4848-4239-B88E-FD14354A372C}">
  <sheetPr codeName="Sheet5"/>
  <dimension ref="C4:H85"/>
  <sheetViews>
    <sheetView topLeftCell="A69" zoomScale="44" workbookViewId="0">
      <selection activeCell="T51" sqref="T51"/>
    </sheetView>
  </sheetViews>
  <sheetFormatPr defaultRowHeight="14.4" x14ac:dyDescent="0.3"/>
  <cols>
    <col min="3" max="3" width="41.33203125" bestFit="1" customWidth="1"/>
    <col min="4" max="8" width="22" customWidth="1"/>
  </cols>
  <sheetData>
    <row r="4" spans="3:8" ht="18" x14ac:dyDescent="0.35">
      <c r="C4" s="87" t="s">
        <v>81</v>
      </c>
      <c r="D4" s="87"/>
      <c r="E4" s="87"/>
      <c r="F4" s="87"/>
      <c r="G4" s="87"/>
      <c r="H4" s="87"/>
    </row>
    <row r="5" spans="3:8" ht="15" thickBot="1" x14ac:dyDescent="0.35"/>
    <row r="6" spans="3:8" ht="15" thickBot="1" x14ac:dyDescent="0.35">
      <c r="C6" s="1" t="s">
        <v>0</v>
      </c>
      <c r="D6" s="2">
        <v>2015</v>
      </c>
      <c r="E6" s="2">
        <v>2016</v>
      </c>
      <c r="F6" s="2">
        <v>2017</v>
      </c>
      <c r="G6" s="2">
        <v>2018</v>
      </c>
      <c r="H6" s="3">
        <v>2019</v>
      </c>
    </row>
    <row r="7" spans="3:8" x14ac:dyDescent="0.3">
      <c r="C7" s="4" t="s">
        <v>1</v>
      </c>
      <c r="D7" s="5"/>
      <c r="E7" s="5"/>
      <c r="F7" s="5"/>
      <c r="G7" s="5"/>
      <c r="H7" s="6"/>
    </row>
    <row r="8" spans="3:8" x14ac:dyDescent="0.3">
      <c r="C8" s="7" t="s">
        <v>2</v>
      </c>
      <c r="D8" s="8">
        <v>297</v>
      </c>
      <c r="E8" s="8">
        <v>273.2</v>
      </c>
      <c r="F8" s="8">
        <v>754.7</v>
      </c>
      <c r="G8" s="8">
        <v>700</v>
      </c>
      <c r="H8" s="9">
        <v>2045.9</v>
      </c>
    </row>
    <row r="9" spans="3:8" x14ac:dyDescent="0.3">
      <c r="C9" s="7" t="s">
        <v>3</v>
      </c>
      <c r="D9" s="8">
        <v>0.3</v>
      </c>
      <c r="E9" s="8">
        <v>186.5</v>
      </c>
      <c r="F9" s="8">
        <v>217.5</v>
      </c>
      <c r="G9" s="8">
        <v>361</v>
      </c>
      <c r="H9" s="9">
        <v>20.3</v>
      </c>
    </row>
    <row r="10" spans="3:8" x14ac:dyDescent="0.3">
      <c r="C10" s="7" t="s">
        <v>4</v>
      </c>
      <c r="D10" s="8">
        <v>150.19999999999999</v>
      </c>
      <c r="E10" s="8">
        <v>75</v>
      </c>
      <c r="F10" s="8">
        <v>89</v>
      </c>
      <c r="G10" s="8">
        <v>120.4</v>
      </c>
      <c r="H10" s="9">
        <v>56.3</v>
      </c>
    </row>
    <row r="11" spans="3:8" x14ac:dyDescent="0.3">
      <c r="C11" s="7" t="s">
        <v>5</v>
      </c>
      <c r="D11" s="8">
        <v>768.8</v>
      </c>
      <c r="E11" s="8">
        <v>996.1</v>
      </c>
      <c r="F11" s="8">
        <v>1043.5999999999999</v>
      </c>
      <c r="G11" s="8">
        <v>1217.8</v>
      </c>
      <c r="H11" s="9">
        <v>1741.4</v>
      </c>
    </row>
    <row r="12" spans="3:8" x14ac:dyDescent="0.3">
      <c r="C12" s="7" t="s">
        <v>6</v>
      </c>
      <c r="D12" s="8">
        <v>0.7</v>
      </c>
      <c r="E12" s="8">
        <v>45.7</v>
      </c>
      <c r="F12" s="8"/>
      <c r="G12" s="8"/>
      <c r="H12" s="9"/>
    </row>
    <row r="13" spans="3:8" x14ac:dyDescent="0.3">
      <c r="C13" s="10" t="s">
        <v>7</v>
      </c>
      <c r="D13" s="11">
        <f>SUM(D8:D12)</f>
        <v>1217</v>
      </c>
      <c r="E13" s="11">
        <f t="shared" ref="E13:H13" si="0">SUM(E8:E12)</f>
        <v>1576.5000000000002</v>
      </c>
      <c r="F13" s="11">
        <f t="shared" si="0"/>
        <v>2104.8000000000002</v>
      </c>
      <c r="G13" s="11">
        <f t="shared" si="0"/>
        <v>2399.1999999999998</v>
      </c>
      <c r="H13" s="12">
        <f t="shared" si="0"/>
        <v>3863.9000000000005</v>
      </c>
    </row>
    <row r="14" spans="3:8" x14ac:dyDescent="0.3">
      <c r="C14" s="7"/>
      <c r="D14" s="8"/>
      <c r="E14" s="8"/>
      <c r="F14" s="8"/>
      <c r="G14" s="8"/>
      <c r="H14" s="9"/>
    </row>
    <row r="15" spans="3:8" x14ac:dyDescent="0.3">
      <c r="C15" s="13" t="s">
        <v>8</v>
      </c>
      <c r="D15" s="8"/>
      <c r="E15" s="8"/>
      <c r="F15" s="8"/>
      <c r="G15" s="8"/>
      <c r="H15" s="9"/>
    </row>
    <row r="16" spans="3:8" x14ac:dyDescent="0.3">
      <c r="C16" s="7" t="s">
        <v>9</v>
      </c>
      <c r="D16" s="8">
        <v>508.7</v>
      </c>
      <c r="E16" s="8">
        <v>657.9</v>
      </c>
      <c r="F16" s="8">
        <v>345.4</v>
      </c>
      <c r="G16" s="8">
        <v>502.4</v>
      </c>
      <c r="H16" s="9">
        <v>144.9</v>
      </c>
    </row>
    <row r="17" spans="3:8" x14ac:dyDescent="0.3">
      <c r="C17" s="7" t="s">
        <v>10</v>
      </c>
      <c r="D17" s="8">
        <v>106.2</v>
      </c>
      <c r="E17" s="8">
        <v>206.7</v>
      </c>
      <c r="F17" s="8">
        <v>149.5</v>
      </c>
      <c r="G17" s="8">
        <v>137.19999999999999</v>
      </c>
      <c r="H17" s="9">
        <v>188.2</v>
      </c>
    </row>
    <row r="18" spans="3:8" x14ac:dyDescent="0.3">
      <c r="C18" s="7" t="s">
        <v>11</v>
      </c>
      <c r="D18" s="8">
        <v>120</v>
      </c>
      <c r="E18" s="8">
        <v>165.2</v>
      </c>
      <c r="F18" s="8">
        <v>154.80000000000001</v>
      </c>
      <c r="G18" s="8">
        <v>160</v>
      </c>
      <c r="H18" s="9">
        <v>123.2</v>
      </c>
    </row>
    <row r="19" spans="3:8" x14ac:dyDescent="0.3">
      <c r="C19" s="7" t="s">
        <v>12</v>
      </c>
      <c r="D19" s="8">
        <v>211.5</v>
      </c>
      <c r="E19" s="8"/>
      <c r="F19" s="8">
        <v>443.2</v>
      </c>
      <c r="G19" s="8">
        <v>213.1</v>
      </c>
      <c r="H19" s="9"/>
    </row>
    <row r="20" spans="3:8" x14ac:dyDescent="0.3">
      <c r="C20" s="7" t="s">
        <v>13</v>
      </c>
      <c r="D20" s="8">
        <v>1706.5</v>
      </c>
      <c r="E20" s="8">
        <v>2277.6999999999998</v>
      </c>
      <c r="F20" s="8">
        <v>1921.8</v>
      </c>
      <c r="G20" s="8">
        <v>3493.1</v>
      </c>
      <c r="H20" s="9">
        <v>5758.3</v>
      </c>
    </row>
    <row r="21" spans="3:8" x14ac:dyDescent="0.3">
      <c r="C21" s="7" t="s">
        <v>14</v>
      </c>
      <c r="D21" s="8">
        <v>529.9</v>
      </c>
      <c r="E21" s="8">
        <v>2228</v>
      </c>
      <c r="F21" s="8">
        <v>1283.8</v>
      </c>
      <c r="G21" s="8">
        <v>1116.8</v>
      </c>
      <c r="H21" s="9">
        <v>5120.1000000000004</v>
      </c>
    </row>
    <row r="22" spans="3:8" x14ac:dyDescent="0.3">
      <c r="C22" s="10" t="s">
        <v>15</v>
      </c>
      <c r="D22" s="11">
        <f>SUM(D16:D21)</f>
        <v>3182.8</v>
      </c>
      <c r="E22" s="11">
        <f t="shared" ref="E22:H22" si="1">SUM(E16:E21)</f>
        <v>5535.5</v>
      </c>
      <c r="F22" s="11">
        <f t="shared" si="1"/>
        <v>4298.5</v>
      </c>
      <c r="G22" s="11">
        <f t="shared" si="1"/>
        <v>5622.6</v>
      </c>
      <c r="H22" s="12">
        <f t="shared" si="1"/>
        <v>11334.7</v>
      </c>
    </row>
    <row r="23" spans="3:8" ht="15" thickBot="1" x14ac:dyDescent="0.35">
      <c r="C23" s="7"/>
      <c r="D23" s="8"/>
      <c r="E23" s="8"/>
      <c r="F23" s="8"/>
      <c r="G23" s="8"/>
      <c r="H23" s="9"/>
    </row>
    <row r="24" spans="3:8" ht="15" thickBot="1" x14ac:dyDescent="0.35">
      <c r="C24" s="32" t="s">
        <v>16</v>
      </c>
      <c r="D24" s="33">
        <f>D13+D22</f>
        <v>4399.8</v>
      </c>
      <c r="E24" s="33">
        <f t="shared" ref="E24:H24" si="2">E13+E22</f>
        <v>7112</v>
      </c>
      <c r="F24" s="33">
        <f t="shared" si="2"/>
        <v>6403.3</v>
      </c>
      <c r="G24" s="33">
        <f t="shared" si="2"/>
        <v>8021.8</v>
      </c>
      <c r="H24" s="34">
        <f t="shared" si="2"/>
        <v>15198.600000000002</v>
      </c>
    </row>
    <row r="25" spans="3:8" ht="15" thickBot="1" x14ac:dyDescent="0.35">
      <c r="C25" s="14"/>
      <c r="D25" s="15"/>
      <c r="E25" s="15"/>
      <c r="F25" s="15"/>
      <c r="G25" s="15"/>
      <c r="H25" s="16"/>
    </row>
    <row r="26" spans="3:8" ht="15" thickBot="1" x14ac:dyDescent="0.35">
      <c r="C26" s="1" t="s">
        <v>17</v>
      </c>
      <c r="D26" s="17">
        <v>2015</v>
      </c>
      <c r="E26" s="2">
        <v>2016</v>
      </c>
      <c r="F26" s="2">
        <v>2017</v>
      </c>
      <c r="G26" s="2">
        <v>2018</v>
      </c>
      <c r="H26" s="3">
        <v>2019</v>
      </c>
    </row>
    <row r="27" spans="3:8" x14ac:dyDescent="0.3">
      <c r="C27" s="18"/>
      <c r="D27" s="5"/>
      <c r="E27" s="5"/>
      <c r="F27" s="5"/>
      <c r="G27" s="5"/>
      <c r="H27" s="6"/>
    </row>
    <row r="28" spans="3:8" x14ac:dyDescent="0.3">
      <c r="C28" s="7" t="s">
        <v>18</v>
      </c>
      <c r="D28" s="8">
        <v>50</v>
      </c>
      <c r="E28" s="8">
        <v>50</v>
      </c>
      <c r="F28" s="8">
        <v>50</v>
      </c>
      <c r="G28" s="8">
        <v>50</v>
      </c>
      <c r="H28" s="9">
        <v>50</v>
      </c>
    </row>
    <row r="29" spans="3:8" x14ac:dyDescent="0.3">
      <c r="C29" s="7" t="s">
        <v>19</v>
      </c>
      <c r="D29" s="8">
        <v>862.7</v>
      </c>
      <c r="E29" s="8">
        <v>1432.3</v>
      </c>
      <c r="F29" s="8">
        <v>1753.9</v>
      </c>
      <c r="G29" s="8">
        <v>2194.9</v>
      </c>
      <c r="H29" s="9">
        <v>3707.1</v>
      </c>
    </row>
    <row r="30" spans="3:8" x14ac:dyDescent="0.3">
      <c r="C30" s="13" t="s">
        <v>20</v>
      </c>
      <c r="D30" s="8"/>
      <c r="E30" s="8"/>
      <c r="F30" s="8"/>
      <c r="G30" s="8"/>
      <c r="H30" s="9"/>
    </row>
    <row r="31" spans="3:8" x14ac:dyDescent="0.3">
      <c r="C31" s="7" t="s">
        <v>21</v>
      </c>
      <c r="D31" s="8">
        <f>D24-(SUM(D28:D29,D32:D34,D40))</f>
        <v>68</v>
      </c>
      <c r="E31" s="8">
        <f t="shared" ref="E31:H31" si="3">E24-(SUM(E28:E29,E32:E34,E40))</f>
        <v>133.39999999999964</v>
      </c>
      <c r="F31" s="8">
        <f t="shared" si="3"/>
        <v>371.80000000000018</v>
      </c>
      <c r="G31" s="8">
        <f t="shared" si="3"/>
        <v>87.800000000000182</v>
      </c>
      <c r="H31" s="9">
        <f t="shared" si="3"/>
        <v>872.80000000000291</v>
      </c>
    </row>
    <row r="32" spans="3:8" x14ac:dyDescent="0.3">
      <c r="C32" s="7" t="s">
        <v>22</v>
      </c>
      <c r="D32" s="8"/>
      <c r="E32" s="8"/>
      <c r="F32" s="8"/>
      <c r="G32" s="8">
        <v>91.1</v>
      </c>
      <c r="H32" s="9">
        <v>116.2</v>
      </c>
    </row>
    <row r="33" spans="3:8" x14ac:dyDescent="0.3">
      <c r="C33" s="7" t="s">
        <v>23</v>
      </c>
      <c r="D33" s="8">
        <v>1197.5999999999999</v>
      </c>
      <c r="E33" s="8">
        <v>1697.7</v>
      </c>
      <c r="F33" s="8">
        <v>60.1</v>
      </c>
      <c r="G33" s="8"/>
      <c r="H33" s="9"/>
    </row>
    <row r="34" spans="3:8" x14ac:dyDescent="0.3">
      <c r="C34" s="7" t="s">
        <v>24</v>
      </c>
      <c r="D34" s="8">
        <v>132.6</v>
      </c>
      <c r="E34" s="8">
        <v>1670.3</v>
      </c>
      <c r="F34" s="8">
        <v>1576.4</v>
      </c>
      <c r="G34" s="8">
        <v>1855.9</v>
      </c>
      <c r="H34" s="9">
        <v>4469.3999999999996</v>
      </c>
    </row>
    <row r="35" spans="3:8" x14ac:dyDescent="0.3">
      <c r="C35" s="10" t="s">
        <v>25</v>
      </c>
      <c r="D35" s="11">
        <f>SUM(D31:D34)</f>
        <v>1398.1999999999998</v>
      </c>
      <c r="E35" s="11">
        <f t="shared" ref="E35:H35" si="4">SUM(E31:E34)</f>
        <v>3501.3999999999996</v>
      </c>
      <c r="F35" s="11">
        <f t="shared" si="4"/>
        <v>2008.3000000000002</v>
      </c>
      <c r="G35" s="11">
        <f t="shared" si="4"/>
        <v>2034.8000000000002</v>
      </c>
      <c r="H35" s="12">
        <f t="shared" si="4"/>
        <v>5458.4000000000024</v>
      </c>
    </row>
    <row r="36" spans="3:8" x14ac:dyDescent="0.3">
      <c r="C36" s="13"/>
      <c r="D36" s="8"/>
      <c r="E36" s="8"/>
      <c r="F36" s="8"/>
      <c r="G36" s="8"/>
      <c r="H36" s="9"/>
    </row>
    <row r="37" spans="3:8" x14ac:dyDescent="0.3">
      <c r="C37" s="13" t="s">
        <v>26</v>
      </c>
      <c r="D37" s="8"/>
      <c r="E37" s="8"/>
      <c r="F37" s="8"/>
      <c r="G37" s="8"/>
      <c r="H37" s="9"/>
    </row>
    <row r="38" spans="3:8" x14ac:dyDescent="0.3">
      <c r="C38" s="7" t="s">
        <v>27</v>
      </c>
      <c r="D38" s="8">
        <v>555.79999999999995</v>
      </c>
      <c r="E38" s="8">
        <v>331.1</v>
      </c>
      <c r="F38" s="8">
        <v>361.7</v>
      </c>
      <c r="G38" s="8">
        <v>581.1</v>
      </c>
      <c r="H38" s="9">
        <v>1111.4000000000001</v>
      </c>
    </row>
    <row r="39" spans="3:8" x14ac:dyDescent="0.3">
      <c r="C39" s="7" t="s">
        <v>28</v>
      </c>
      <c r="D39" s="8">
        <f>D40-D38</f>
        <v>1533.1000000000001</v>
      </c>
      <c r="E39" s="8">
        <f t="shared" ref="E39:H39" si="5">E40-E38</f>
        <v>1797.2000000000003</v>
      </c>
      <c r="F39" s="8">
        <f t="shared" si="5"/>
        <v>2229.4</v>
      </c>
      <c r="G39" s="8">
        <f t="shared" si="5"/>
        <v>3161</v>
      </c>
      <c r="H39" s="9">
        <f t="shared" si="5"/>
        <v>4871.7000000000007</v>
      </c>
    </row>
    <row r="40" spans="3:8" x14ac:dyDescent="0.3">
      <c r="C40" s="10" t="s">
        <v>29</v>
      </c>
      <c r="D40" s="11">
        <v>2088.9</v>
      </c>
      <c r="E40" s="11">
        <v>2128.3000000000002</v>
      </c>
      <c r="F40" s="11">
        <v>2591.1</v>
      </c>
      <c r="G40" s="11">
        <v>3742.1</v>
      </c>
      <c r="H40" s="12">
        <v>5983.1</v>
      </c>
    </row>
    <row r="41" spans="3:8" ht="15" thickBot="1" x14ac:dyDescent="0.35">
      <c r="C41" s="7"/>
      <c r="D41" s="8"/>
      <c r="E41" s="8"/>
      <c r="F41" s="8"/>
      <c r="G41" s="8"/>
      <c r="H41" s="9"/>
    </row>
    <row r="42" spans="3:8" ht="15" thickBot="1" x14ac:dyDescent="0.35">
      <c r="C42" s="32" t="s">
        <v>30</v>
      </c>
      <c r="D42" s="33">
        <f>SUM(D28:D29,D35,D40)</f>
        <v>4399.7999999999993</v>
      </c>
      <c r="E42" s="33">
        <f t="shared" ref="E42:H42" si="6">SUM(E28:E29,E35,E40)</f>
        <v>7112</v>
      </c>
      <c r="F42" s="33">
        <f t="shared" si="6"/>
        <v>6403.3</v>
      </c>
      <c r="G42" s="33">
        <f t="shared" si="6"/>
        <v>8021.8000000000011</v>
      </c>
      <c r="H42" s="34">
        <f t="shared" si="6"/>
        <v>15198.600000000002</v>
      </c>
    </row>
    <row r="47" spans="3:8" ht="21" x14ac:dyDescent="0.4">
      <c r="C47" s="89" t="s">
        <v>84</v>
      </c>
      <c r="D47" s="89"/>
      <c r="E47" s="89"/>
      <c r="F47" s="89"/>
      <c r="G47" s="89"/>
      <c r="H47" s="89"/>
    </row>
    <row r="48" spans="3:8" ht="15" thickBot="1" x14ac:dyDescent="0.35"/>
    <row r="49" spans="3:8" ht="20.399999999999999" customHeight="1" thickBot="1" x14ac:dyDescent="0.35">
      <c r="C49" s="56" t="s">
        <v>0</v>
      </c>
      <c r="D49" s="1">
        <v>2015</v>
      </c>
      <c r="E49" s="2">
        <v>2016</v>
      </c>
      <c r="F49" s="2">
        <v>2017</v>
      </c>
      <c r="G49" s="2">
        <v>2018</v>
      </c>
      <c r="H49" s="82">
        <v>2019</v>
      </c>
    </row>
    <row r="50" spans="3:8" ht="20.399999999999999" customHeight="1" x14ac:dyDescent="0.3">
      <c r="C50" s="50" t="s">
        <v>1</v>
      </c>
      <c r="D50" s="52"/>
      <c r="E50" s="52"/>
      <c r="F50" s="52"/>
      <c r="G50" s="52"/>
      <c r="H50" s="61"/>
    </row>
    <row r="51" spans="3:8" ht="20.399999999999999" customHeight="1" x14ac:dyDescent="0.3">
      <c r="C51" s="48" t="s">
        <v>2</v>
      </c>
      <c r="D51" s="52">
        <f t="shared" ref="D51:H65" si="7">D8/D$24</f>
        <v>6.7503068321287329E-2</v>
      </c>
      <c r="E51" s="52">
        <f t="shared" si="7"/>
        <v>3.841394825646794E-2</v>
      </c>
      <c r="F51" s="52">
        <f t="shared" si="7"/>
        <v>0.11786110286883326</v>
      </c>
      <c r="G51" s="52">
        <f t="shared" si="7"/>
        <v>8.7262210476451663E-2</v>
      </c>
      <c r="H51" s="61">
        <f t="shared" si="7"/>
        <v>0.13461108259971311</v>
      </c>
    </row>
    <row r="52" spans="3:8" ht="20.399999999999999" customHeight="1" x14ac:dyDescent="0.3">
      <c r="C52" s="48" t="s">
        <v>3</v>
      </c>
      <c r="D52" s="52">
        <f t="shared" si="7"/>
        <v>6.8184917496249829E-5</v>
      </c>
      <c r="E52" s="52">
        <f t="shared" si="7"/>
        <v>2.6223284589426323E-2</v>
      </c>
      <c r="F52" s="52">
        <f t="shared" si="7"/>
        <v>3.3966860837380722E-2</v>
      </c>
      <c r="G52" s="52">
        <f t="shared" si="7"/>
        <v>4.5002368545712934E-2</v>
      </c>
      <c r="H52" s="61">
        <f t="shared" si="7"/>
        <v>1.3356493361230638E-3</v>
      </c>
    </row>
    <row r="53" spans="3:8" ht="20.399999999999999" customHeight="1" x14ac:dyDescent="0.3">
      <c r="C53" s="48" t="s">
        <v>4</v>
      </c>
      <c r="D53" s="52">
        <f t="shared" si="7"/>
        <v>3.4137915359789078E-2</v>
      </c>
      <c r="E53" s="52">
        <f t="shared" si="7"/>
        <v>1.0545556805399325E-2</v>
      </c>
      <c r="F53" s="52">
        <f t="shared" si="7"/>
        <v>1.3899083285181078E-2</v>
      </c>
      <c r="G53" s="52">
        <f t="shared" si="7"/>
        <v>1.5009100201949687E-2</v>
      </c>
      <c r="H53" s="61">
        <f t="shared" si="7"/>
        <v>3.7042885528930287E-3</v>
      </c>
    </row>
    <row r="54" spans="3:8" ht="20.399999999999999" customHeight="1" x14ac:dyDescent="0.3">
      <c r="C54" s="48" t="s">
        <v>5</v>
      </c>
      <c r="D54" s="52">
        <f t="shared" si="7"/>
        <v>0.17473521523705621</v>
      </c>
      <c r="E54" s="52">
        <f t="shared" si="7"/>
        <v>0.14005905511811023</v>
      </c>
      <c r="F54" s="52">
        <f t="shared" si="7"/>
        <v>0.1629784642293817</v>
      </c>
      <c r="G54" s="52">
        <f t="shared" si="7"/>
        <v>0.15181131416888977</v>
      </c>
      <c r="H54" s="61">
        <f t="shared" si="7"/>
        <v>0.11457634255786717</v>
      </c>
    </row>
    <row r="55" spans="3:8" ht="20.399999999999999" customHeight="1" x14ac:dyDescent="0.3">
      <c r="C55" s="48" t="s">
        <v>6</v>
      </c>
      <c r="D55" s="52">
        <f t="shared" si="7"/>
        <v>1.5909814082458291E-4</v>
      </c>
      <c r="E55" s="52">
        <f t="shared" si="7"/>
        <v>6.425759280089989E-3</v>
      </c>
      <c r="F55" s="52">
        <f t="shared" si="7"/>
        <v>0</v>
      </c>
      <c r="G55" s="52">
        <f t="shared" si="7"/>
        <v>0</v>
      </c>
      <c r="H55" s="61">
        <f t="shared" si="7"/>
        <v>0</v>
      </c>
    </row>
    <row r="56" spans="3:8" ht="20.399999999999999" customHeight="1" x14ac:dyDescent="0.3">
      <c r="C56" s="49" t="s">
        <v>7</v>
      </c>
      <c r="D56" s="53">
        <f t="shared" si="7"/>
        <v>0.27660348197645346</v>
      </c>
      <c r="E56" s="53">
        <f t="shared" si="7"/>
        <v>0.22166760404949384</v>
      </c>
      <c r="F56" s="53">
        <f t="shared" si="7"/>
        <v>0.32870551122077679</v>
      </c>
      <c r="G56" s="53">
        <f t="shared" si="7"/>
        <v>0.29908499339300404</v>
      </c>
      <c r="H56" s="57">
        <f t="shared" si="7"/>
        <v>0.25422736304659638</v>
      </c>
    </row>
    <row r="57" spans="3:8" ht="20.399999999999999" customHeight="1" x14ac:dyDescent="0.3">
      <c r="C57" s="48"/>
      <c r="D57" s="52"/>
      <c r="E57" s="52"/>
      <c r="F57" s="52"/>
      <c r="G57" s="52"/>
      <c r="H57" s="61"/>
    </row>
    <row r="58" spans="3:8" ht="20.399999999999999" customHeight="1" x14ac:dyDescent="0.3">
      <c r="C58" s="50" t="s">
        <v>8</v>
      </c>
      <c r="D58" s="52"/>
      <c r="E58" s="52"/>
      <c r="F58" s="52"/>
      <c r="G58" s="52"/>
      <c r="H58" s="61"/>
    </row>
    <row r="59" spans="3:8" ht="20.399999999999999" customHeight="1" x14ac:dyDescent="0.3">
      <c r="C59" s="48" t="s">
        <v>9</v>
      </c>
      <c r="D59" s="52">
        <f t="shared" si="7"/>
        <v>0.11561889176780762</v>
      </c>
      <c r="E59" s="52">
        <f t="shared" si="7"/>
        <v>9.2505624296962879E-2</v>
      </c>
      <c r="F59" s="52">
        <f t="shared" si="7"/>
        <v>5.3940936704511729E-2</v>
      </c>
      <c r="G59" s="52">
        <f t="shared" si="7"/>
        <v>6.2629335061956171E-2</v>
      </c>
      <c r="H59" s="61">
        <f t="shared" si="7"/>
        <v>9.5337728474991102E-3</v>
      </c>
    </row>
    <row r="60" spans="3:8" ht="20.399999999999999" customHeight="1" x14ac:dyDescent="0.3">
      <c r="C60" s="48" t="s">
        <v>10</v>
      </c>
      <c r="D60" s="52">
        <f t="shared" si="7"/>
        <v>2.413746079367244E-2</v>
      </c>
      <c r="E60" s="52">
        <f t="shared" si="7"/>
        <v>2.9063554555680538E-2</v>
      </c>
      <c r="F60" s="52">
        <f t="shared" si="7"/>
        <v>2.3347336529601925E-2</v>
      </c>
      <c r="G60" s="52">
        <f t="shared" si="7"/>
        <v>1.7103393253384527E-2</v>
      </c>
      <c r="H60" s="61">
        <f t="shared" si="7"/>
        <v>1.2382719461002984E-2</v>
      </c>
    </row>
    <row r="61" spans="3:8" ht="20.399999999999999" customHeight="1" x14ac:dyDescent="0.3">
      <c r="C61" s="48" t="s">
        <v>11</v>
      </c>
      <c r="D61" s="52">
        <f t="shared" si="7"/>
        <v>2.7273966998499932E-2</v>
      </c>
      <c r="E61" s="52">
        <f t="shared" si="7"/>
        <v>2.3228346456692913E-2</v>
      </c>
      <c r="F61" s="52">
        <f t="shared" si="7"/>
        <v>2.4175034747708213E-2</v>
      </c>
      <c r="G61" s="52">
        <f t="shared" si="7"/>
        <v>1.9945648108903237E-2</v>
      </c>
      <c r="H61" s="61">
        <f t="shared" si="7"/>
        <v>8.1060097640572142E-3</v>
      </c>
    </row>
    <row r="62" spans="3:8" ht="20.399999999999999" customHeight="1" x14ac:dyDescent="0.3">
      <c r="C62" s="48" t="s">
        <v>12</v>
      </c>
      <c r="D62" s="52">
        <f t="shared" si="7"/>
        <v>4.8070366834856125E-2</v>
      </c>
      <c r="E62" s="52">
        <f t="shared" si="7"/>
        <v>0</v>
      </c>
      <c r="F62" s="52">
        <f t="shared" si="7"/>
        <v>6.9214311370699486E-2</v>
      </c>
      <c r="G62" s="52">
        <f t="shared" si="7"/>
        <v>2.65651100750455E-2</v>
      </c>
      <c r="H62" s="61">
        <f t="shared" si="7"/>
        <v>0</v>
      </c>
    </row>
    <row r="63" spans="3:8" ht="20.399999999999999" customHeight="1" x14ac:dyDescent="0.3">
      <c r="C63" s="48" t="s">
        <v>13</v>
      </c>
      <c r="D63" s="52">
        <f t="shared" si="7"/>
        <v>0.38785853902450107</v>
      </c>
      <c r="E63" s="52">
        <f t="shared" si="7"/>
        <v>0.32026152980877387</v>
      </c>
      <c r="F63" s="52">
        <f t="shared" si="7"/>
        <v>0.30012649727484264</v>
      </c>
      <c r="G63" s="52">
        <f t="shared" si="7"/>
        <v>0.4354508963075619</v>
      </c>
      <c r="H63" s="61">
        <f t="shared" si="7"/>
        <v>0.37887042227573586</v>
      </c>
    </row>
    <row r="64" spans="3:8" ht="20.399999999999999" customHeight="1" x14ac:dyDescent="0.3">
      <c r="C64" s="48" t="s">
        <v>14</v>
      </c>
      <c r="D64" s="52">
        <f t="shared" si="7"/>
        <v>0.12043729260420927</v>
      </c>
      <c r="E64" s="52">
        <f t="shared" si="7"/>
        <v>0.31327334083239594</v>
      </c>
      <c r="F64" s="52">
        <f t="shared" si="7"/>
        <v>0.20049037215185919</v>
      </c>
      <c r="G64" s="52">
        <f t="shared" si="7"/>
        <v>0.13922062380014461</v>
      </c>
      <c r="H64" s="61">
        <f t="shared" si="7"/>
        <v>0.33687971260510835</v>
      </c>
    </row>
    <row r="65" spans="3:8" ht="20.399999999999999" customHeight="1" x14ac:dyDescent="0.3">
      <c r="C65" s="47" t="s">
        <v>15</v>
      </c>
      <c r="D65" s="53">
        <f t="shared" si="7"/>
        <v>0.72339651802354654</v>
      </c>
      <c r="E65" s="53">
        <f t="shared" si="7"/>
        <v>0.77833239595050618</v>
      </c>
      <c r="F65" s="53">
        <f t="shared" si="7"/>
        <v>0.67129448877922315</v>
      </c>
      <c r="G65" s="53">
        <f t="shared" si="7"/>
        <v>0.70091500660699602</v>
      </c>
      <c r="H65" s="57">
        <f t="shared" si="7"/>
        <v>0.74577263695340357</v>
      </c>
    </row>
    <row r="66" spans="3:8" ht="20.399999999999999" customHeight="1" thickBot="1" x14ac:dyDescent="0.35">
      <c r="C66" s="48"/>
      <c r="D66" s="54"/>
      <c r="E66" s="54"/>
      <c r="F66" s="54"/>
      <c r="G66" s="54"/>
      <c r="H66" s="83"/>
    </row>
    <row r="67" spans="3:8" ht="20.399999999999999" customHeight="1" thickBot="1" x14ac:dyDescent="0.35">
      <c r="C67" s="51" t="s">
        <v>16</v>
      </c>
      <c r="D67" s="46">
        <f>D24/D$24</f>
        <v>1</v>
      </c>
      <c r="E67" s="46">
        <f t="shared" ref="E67:H67" si="8">E24/E$24</f>
        <v>1</v>
      </c>
      <c r="F67" s="46">
        <f t="shared" si="8"/>
        <v>1</v>
      </c>
      <c r="G67" s="46">
        <f t="shared" si="8"/>
        <v>1</v>
      </c>
      <c r="H67" s="59">
        <f t="shared" si="8"/>
        <v>1</v>
      </c>
    </row>
    <row r="68" spans="3:8" ht="20.399999999999999" customHeight="1" thickBot="1" x14ac:dyDescent="0.35">
      <c r="C68" s="81"/>
      <c r="D68" s="15"/>
      <c r="E68" s="15"/>
      <c r="F68" s="15"/>
      <c r="G68" s="15"/>
      <c r="H68" s="84"/>
    </row>
    <row r="69" spans="3:8" ht="20.399999999999999" customHeight="1" thickBot="1" x14ac:dyDescent="0.35">
      <c r="C69" s="56" t="s">
        <v>17</v>
      </c>
      <c r="D69" s="2">
        <v>2015</v>
      </c>
      <c r="E69" s="2">
        <v>2016</v>
      </c>
      <c r="F69" s="2">
        <v>2017</v>
      </c>
      <c r="G69" s="2">
        <v>2018</v>
      </c>
      <c r="H69" s="82">
        <v>2019</v>
      </c>
    </row>
    <row r="70" spans="3:8" ht="20.399999999999999" customHeight="1" x14ac:dyDescent="0.3">
      <c r="C70" s="38"/>
      <c r="D70" s="8"/>
      <c r="E70" s="8"/>
      <c r="F70" s="8"/>
      <c r="G70" s="8"/>
      <c r="H70" s="85"/>
    </row>
    <row r="71" spans="3:8" ht="20.399999999999999" customHeight="1" x14ac:dyDescent="0.3">
      <c r="C71" s="48" t="s">
        <v>18</v>
      </c>
      <c r="D71" s="52">
        <f t="shared" ref="D71:H83" si="9">D28/D$42</f>
        <v>1.1364152916041641E-2</v>
      </c>
      <c r="E71" s="52">
        <f t="shared" si="9"/>
        <v>7.0303712035995501E-3</v>
      </c>
      <c r="F71" s="52">
        <f t="shared" si="9"/>
        <v>7.8084737557197071E-3</v>
      </c>
      <c r="G71" s="52">
        <f t="shared" si="9"/>
        <v>6.2330150340322611E-3</v>
      </c>
      <c r="H71" s="61">
        <f t="shared" si="9"/>
        <v>3.2897766899582853E-3</v>
      </c>
    </row>
    <row r="72" spans="3:8" ht="20.399999999999999" customHeight="1" x14ac:dyDescent="0.3">
      <c r="C72" s="48" t="s">
        <v>19</v>
      </c>
      <c r="D72" s="52">
        <f t="shared" si="9"/>
        <v>0.19607709441338247</v>
      </c>
      <c r="E72" s="52">
        <f t="shared" si="9"/>
        <v>0.20139201349831271</v>
      </c>
      <c r="F72" s="52">
        <f t="shared" si="9"/>
        <v>0.27390564240313586</v>
      </c>
      <c r="G72" s="52">
        <f t="shared" si="9"/>
        <v>0.27361689396394823</v>
      </c>
      <c r="H72" s="61">
        <f t="shared" si="9"/>
        <v>0.24391062334688718</v>
      </c>
    </row>
    <row r="73" spans="3:8" ht="20.399999999999999" customHeight="1" x14ac:dyDescent="0.3">
      <c r="C73" s="50" t="s">
        <v>20</v>
      </c>
      <c r="D73" s="55"/>
      <c r="E73" s="55"/>
      <c r="F73" s="55"/>
      <c r="G73" s="55"/>
      <c r="H73" s="86"/>
    </row>
    <row r="74" spans="3:8" ht="20.399999999999999" customHeight="1" x14ac:dyDescent="0.3">
      <c r="C74" s="48" t="s">
        <v>21</v>
      </c>
      <c r="D74" s="52">
        <f t="shared" si="9"/>
        <v>1.545524796581663E-2</v>
      </c>
      <c r="E74" s="52">
        <f t="shared" si="9"/>
        <v>1.8757030371203548E-2</v>
      </c>
      <c r="F74" s="52">
        <f t="shared" si="9"/>
        <v>5.8063810847531767E-2</v>
      </c>
      <c r="G74" s="52">
        <f t="shared" si="9"/>
        <v>1.0945174399760673E-2</v>
      </c>
      <c r="H74" s="61">
        <f t="shared" si="9"/>
        <v>5.7426341899912019E-2</v>
      </c>
    </row>
    <row r="75" spans="3:8" ht="20.399999999999999" customHeight="1" x14ac:dyDescent="0.3">
      <c r="C75" s="48" t="s">
        <v>22</v>
      </c>
      <c r="D75" s="52">
        <f t="shared" si="9"/>
        <v>0</v>
      </c>
      <c r="E75" s="52">
        <f t="shared" si="9"/>
        <v>0</v>
      </c>
      <c r="F75" s="52">
        <f t="shared" si="9"/>
        <v>0</v>
      </c>
      <c r="G75" s="52">
        <f t="shared" si="9"/>
        <v>1.135655339200678E-2</v>
      </c>
      <c r="H75" s="61">
        <f t="shared" si="9"/>
        <v>7.6454410274630546E-3</v>
      </c>
    </row>
    <row r="76" spans="3:8" ht="20.399999999999999" customHeight="1" x14ac:dyDescent="0.3">
      <c r="C76" s="48" t="s">
        <v>23</v>
      </c>
      <c r="D76" s="52">
        <f t="shared" si="9"/>
        <v>0.27219419064502937</v>
      </c>
      <c r="E76" s="52">
        <f t="shared" si="9"/>
        <v>0.23870922384701912</v>
      </c>
      <c r="F76" s="52">
        <f t="shared" si="9"/>
        <v>9.3857854543750886E-3</v>
      </c>
      <c r="G76" s="52">
        <f t="shared" si="9"/>
        <v>0</v>
      </c>
      <c r="H76" s="61">
        <f t="shared" si="9"/>
        <v>0</v>
      </c>
    </row>
    <row r="77" spans="3:8" ht="20.399999999999999" customHeight="1" x14ac:dyDescent="0.3">
      <c r="C77" s="48" t="s">
        <v>24</v>
      </c>
      <c r="D77" s="52">
        <f t="shared" si="9"/>
        <v>3.0137733533342429E-2</v>
      </c>
      <c r="E77" s="52">
        <f t="shared" si="9"/>
        <v>0.23485658042744656</v>
      </c>
      <c r="F77" s="52">
        <f t="shared" si="9"/>
        <v>0.24618556057033092</v>
      </c>
      <c r="G77" s="52">
        <f t="shared" si="9"/>
        <v>0.23135705203320947</v>
      </c>
      <c r="H77" s="61">
        <f t="shared" si="9"/>
        <v>0.29406655876199117</v>
      </c>
    </row>
    <row r="78" spans="3:8" ht="20.399999999999999" customHeight="1" x14ac:dyDescent="0.3">
      <c r="C78" s="49" t="s">
        <v>25</v>
      </c>
      <c r="D78" s="53">
        <f t="shared" si="9"/>
        <v>0.31778717214418839</v>
      </c>
      <c r="E78" s="53">
        <f t="shared" si="9"/>
        <v>0.49232283464566923</v>
      </c>
      <c r="F78" s="53">
        <f t="shared" si="9"/>
        <v>0.31363515687223775</v>
      </c>
      <c r="G78" s="53">
        <f t="shared" si="9"/>
        <v>0.25365877982497692</v>
      </c>
      <c r="H78" s="57">
        <f t="shared" si="9"/>
        <v>0.3591383416893662</v>
      </c>
    </row>
    <row r="79" spans="3:8" ht="20.399999999999999" customHeight="1" x14ac:dyDescent="0.3">
      <c r="C79" s="50"/>
      <c r="D79" s="55"/>
      <c r="E79" s="55"/>
      <c r="F79" s="55"/>
      <c r="G79" s="55"/>
      <c r="H79" s="86"/>
    </row>
    <row r="80" spans="3:8" ht="20.399999999999999" customHeight="1" x14ac:dyDescent="0.3">
      <c r="C80" s="50" t="s">
        <v>26</v>
      </c>
      <c r="D80" s="55"/>
      <c r="E80" s="55"/>
      <c r="F80" s="55"/>
      <c r="G80" s="55"/>
      <c r="H80" s="86"/>
    </row>
    <row r="81" spans="3:8" ht="20.399999999999999" customHeight="1" x14ac:dyDescent="0.3">
      <c r="C81" s="48" t="s">
        <v>27</v>
      </c>
      <c r="D81" s="52">
        <f t="shared" si="9"/>
        <v>0.12632392381471885</v>
      </c>
      <c r="E81" s="52">
        <f t="shared" si="9"/>
        <v>4.6555118110236222E-2</v>
      </c>
      <c r="F81" s="52">
        <f t="shared" si="9"/>
        <v>5.6486499148876358E-2</v>
      </c>
      <c r="G81" s="52">
        <f t="shared" si="9"/>
        <v>7.2440100725522941E-2</v>
      </c>
      <c r="H81" s="61">
        <f t="shared" si="9"/>
        <v>7.3125156264392768E-2</v>
      </c>
    </row>
    <row r="82" spans="3:8" ht="20.399999999999999" customHeight="1" x14ac:dyDescent="0.3">
      <c r="C82" s="48" t="s">
        <v>28</v>
      </c>
      <c r="D82" s="52">
        <f t="shared" si="9"/>
        <v>0.34844765671166877</v>
      </c>
      <c r="E82" s="52">
        <f t="shared" si="9"/>
        <v>0.25269966254218229</v>
      </c>
      <c r="F82" s="52">
        <f t="shared" si="9"/>
        <v>0.34816422782003031</v>
      </c>
      <c r="G82" s="52">
        <f t="shared" si="9"/>
        <v>0.39405121045151953</v>
      </c>
      <c r="H82" s="61">
        <f t="shared" si="9"/>
        <v>0.32053610200939558</v>
      </c>
    </row>
    <row r="83" spans="3:8" ht="20.399999999999999" customHeight="1" x14ac:dyDescent="0.3">
      <c r="C83" s="49" t="s">
        <v>29</v>
      </c>
      <c r="D83" s="53">
        <f t="shared" si="9"/>
        <v>0.47477158052638768</v>
      </c>
      <c r="E83" s="53">
        <f t="shared" si="9"/>
        <v>0.29925478065241845</v>
      </c>
      <c r="F83" s="53">
        <f t="shared" si="9"/>
        <v>0.40465072696890664</v>
      </c>
      <c r="G83" s="53">
        <f t="shared" si="9"/>
        <v>0.46649131117704251</v>
      </c>
      <c r="H83" s="57">
        <f t="shared" si="9"/>
        <v>0.39366125827378834</v>
      </c>
    </row>
    <row r="84" spans="3:8" ht="20.399999999999999" customHeight="1" thickBot="1" x14ac:dyDescent="0.35">
      <c r="C84" s="48"/>
      <c r="D84" s="55"/>
      <c r="E84" s="55"/>
      <c r="F84" s="55"/>
      <c r="G84" s="55"/>
      <c r="H84" s="86"/>
    </row>
    <row r="85" spans="3:8" ht="20.399999999999999" customHeight="1" thickBot="1" x14ac:dyDescent="0.35">
      <c r="C85" s="51" t="s">
        <v>30</v>
      </c>
      <c r="D85" s="46">
        <f>D42/D$42</f>
        <v>1</v>
      </c>
      <c r="E85" s="46">
        <f t="shared" ref="E85:H85" si="10">E42/E$42</f>
        <v>1</v>
      </c>
      <c r="F85" s="46">
        <f t="shared" si="10"/>
        <v>1</v>
      </c>
      <c r="G85" s="46">
        <f t="shared" si="10"/>
        <v>1</v>
      </c>
      <c r="H85" s="59">
        <f t="shared" si="10"/>
        <v>1</v>
      </c>
    </row>
  </sheetData>
  <mergeCells count="2">
    <mergeCell ref="C4:H4"/>
    <mergeCell ref="C47:H4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B99F4-9C27-4ACE-A058-9CC5F5AF7014}">
  <sheetPr codeName="Sheet6"/>
  <dimension ref="C4:H63"/>
  <sheetViews>
    <sheetView topLeftCell="A40" zoomScale="54" zoomScaleNormal="85" workbookViewId="0">
      <selection activeCell="M41" sqref="M41"/>
    </sheetView>
  </sheetViews>
  <sheetFormatPr defaultRowHeight="14.4" x14ac:dyDescent="0.3"/>
  <cols>
    <col min="3" max="3" width="49.44140625" bestFit="1" customWidth="1"/>
    <col min="4" max="8" width="20.6640625" customWidth="1"/>
  </cols>
  <sheetData>
    <row r="4" spans="3:8" ht="23.4" x14ac:dyDescent="0.45">
      <c r="C4" s="88" t="s">
        <v>82</v>
      </c>
      <c r="D4" s="88"/>
      <c r="E4" s="88"/>
      <c r="F4" s="88"/>
      <c r="G4" s="88"/>
      <c r="H4" s="88"/>
    </row>
    <row r="5" spans="3:8" ht="15" thickBot="1" x14ac:dyDescent="0.35"/>
    <row r="6" spans="3:8" x14ac:dyDescent="0.3">
      <c r="C6" s="19" t="s">
        <v>31</v>
      </c>
      <c r="D6" s="19">
        <v>2015</v>
      </c>
      <c r="E6" s="19">
        <v>2016</v>
      </c>
      <c r="F6" s="19">
        <v>2017</v>
      </c>
      <c r="G6" s="19">
        <v>2018</v>
      </c>
      <c r="H6" s="19">
        <v>2019</v>
      </c>
    </row>
    <row r="7" spans="3:8" x14ac:dyDescent="0.3">
      <c r="C7" s="20" t="s">
        <v>32</v>
      </c>
      <c r="D7" s="20">
        <f>D9-D8</f>
        <v>5844.9000000000005</v>
      </c>
      <c r="E7" s="20">
        <f t="shared" ref="E7:H7" si="0">E9-E8</f>
        <v>7934.1</v>
      </c>
      <c r="F7" s="20">
        <f t="shared" si="0"/>
        <v>10043.6</v>
      </c>
      <c r="G7" s="20">
        <f t="shared" si="0"/>
        <v>12215.300000000001</v>
      </c>
      <c r="H7" s="20">
        <f t="shared" si="0"/>
        <v>16536.5</v>
      </c>
    </row>
    <row r="8" spans="3:8" ht="15" thickBot="1" x14ac:dyDescent="0.35">
      <c r="C8" s="20" t="s">
        <v>33</v>
      </c>
      <c r="D8" s="20">
        <v>739.7</v>
      </c>
      <c r="E8" s="20">
        <v>1005</v>
      </c>
      <c r="F8" s="20">
        <v>1015.9</v>
      </c>
      <c r="G8" s="20">
        <v>1572.8</v>
      </c>
      <c r="H8" s="20">
        <v>2523.1999999999998</v>
      </c>
    </row>
    <row r="9" spans="3:8" ht="15" thickBot="1" x14ac:dyDescent="0.35">
      <c r="C9" s="21" t="s">
        <v>34</v>
      </c>
      <c r="D9" s="21">
        <v>6584.6</v>
      </c>
      <c r="E9" s="21">
        <v>8939.1</v>
      </c>
      <c r="F9" s="21">
        <v>11059.5</v>
      </c>
      <c r="G9" s="21">
        <v>13788.1</v>
      </c>
      <c r="H9" s="21">
        <v>19059.7</v>
      </c>
    </row>
    <row r="10" spans="3:8" x14ac:dyDescent="0.3">
      <c r="C10" s="20"/>
      <c r="D10" s="20"/>
      <c r="E10" s="20"/>
      <c r="F10" s="20"/>
      <c r="G10" s="20"/>
      <c r="H10" s="20"/>
    </row>
    <row r="11" spans="3:8" x14ac:dyDescent="0.3">
      <c r="C11" s="22" t="s">
        <v>35</v>
      </c>
      <c r="D11" s="23"/>
      <c r="E11" s="23"/>
      <c r="F11" s="23"/>
      <c r="G11" s="23"/>
      <c r="H11" s="23"/>
    </row>
    <row r="12" spans="3:8" x14ac:dyDescent="0.3">
      <c r="C12" s="20" t="s">
        <v>36</v>
      </c>
      <c r="D12" s="20">
        <v>500.8</v>
      </c>
      <c r="E12" s="20">
        <v>431.8</v>
      </c>
      <c r="F12" s="20">
        <v>452.3</v>
      </c>
      <c r="G12" s="20">
        <v>1049.5</v>
      </c>
      <c r="H12" s="20">
        <v>1725.4</v>
      </c>
    </row>
    <row r="13" spans="3:8" x14ac:dyDescent="0.3">
      <c r="C13" s="20" t="s">
        <v>37</v>
      </c>
      <c r="D13" s="20">
        <v>187</v>
      </c>
      <c r="E13" s="20">
        <v>206.5</v>
      </c>
      <c r="F13" s="20">
        <v>290.10000000000002</v>
      </c>
      <c r="G13" s="20">
        <v>325.7</v>
      </c>
      <c r="H13" s="20">
        <v>446.9</v>
      </c>
    </row>
    <row r="14" spans="3:8" x14ac:dyDescent="0.3">
      <c r="C14" s="20" t="s">
        <v>38</v>
      </c>
      <c r="D14" s="20">
        <v>13.3</v>
      </c>
      <c r="E14" s="20">
        <v>19.2</v>
      </c>
      <c r="F14" s="20">
        <v>23</v>
      </c>
      <c r="G14" s="20">
        <v>25.8</v>
      </c>
      <c r="H14" s="20">
        <v>33.799999999999997</v>
      </c>
    </row>
    <row r="15" spans="3:8" x14ac:dyDescent="0.3">
      <c r="C15" s="20" t="s">
        <v>39</v>
      </c>
      <c r="D15" s="20">
        <v>3895</v>
      </c>
      <c r="E15" s="20">
        <v>5405.3</v>
      </c>
      <c r="F15" s="20">
        <v>7151.4</v>
      </c>
      <c r="G15" s="20">
        <v>7754.9</v>
      </c>
      <c r="H15" s="20">
        <v>9724.4</v>
      </c>
    </row>
    <row r="16" spans="3:8" x14ac:dyDescent="0.3">
      <c r="C16" s="20" t="s">
        <v>40</v>
      </c>
      <c r="D16" s="20">
        <v>1.1000000000000001</v>
      </c>
      <c r="E16" s="20">
        <v>7.8</v>
      </c>
      <c r="F16" s="20">
        <v>7.4</v>
      </c>
      <c r="G16" s="20">
        <v>9.8000000000000007</v>
      </c>
      <c r="H16" s="20">
        <v>7.6</v>
      </c>
    </row>
    <row r="17" spans="3:8" x14ac:dyDescent="0.3">
      <c r="C17" s="20" t="s">
        <v>41</v>
      </c>
      <c r="D17" s="20"/>
      <c r="E17" s="20"/>
      <c r="F17" s="20"/>
      <c r="G17" s="20"/>
      <c r="H17" s="20"/>
    </row>
    <row r="18" spans="3:8" x14ac:dyDescent="0.3">
      <c r="C18" s="20" t="s">
        <v>42</v>
      </c>
      <c r="D18" s="20">
        <v>33</v>
      </c>
      <c r="E18" s="20">
        <v>51.5</v>
      </c>
      <c r="F18" s="20">
        <v>61.4</v>
      </c>
      <c r="G18" s="20">
        <v>78.5</v>
      </c>
      <c r="H18" s="20">
        <v>1038</v>
      </c>
    </row>
    <row r="19" spans="3:8" x14ac:dyDescent="0.3">
      <c r="C19" s="20" t="s">
        <v>43</v>
      </c>
      <c r="D19" s="20">
        <v>657.1</v>
      </c>
      <c r="E19" s="20">
        <v>859.3</v>
      </c>
      <c r="F19" s="20">
        <v>1227.0999999999999</v>
      </c>
      <c r="G19" s="20">
        <v>1839.6</v>
      </c>
      <c r="H19" s="20">
        <v>1725.1</v>
      </c>
    </row>
    <row r="20" spans="3:8" x14ac:dyDescent="0.3">
      <c r="C20" s="20" t="s">
        <v>44</v>
      </c>
      <c r="D20" s="20">
        <v>798.3</v>
      </c>
      <c r="E20" s="20">
        <v>1082.7</v>
      </c>
      <c r="F20" s="20">
        <v>1273.4000000000001</v>
      </c>
      <c r="G20" s="20">
        <v>1506.1</v>
      </c>
      <c r="H20" s="20">
        <v>2154.3000000000002</v>
      </c>
    </row>
    <row r="21" spans="3:8" x14ac:dyDescent="0.3">
      <c r="C21" s="20" t="s">
        <v>45</v>
      </c>
      <c r="D21" s="20">
        <v>65.3</v>
      </c>
      <c r="E21" s="20">
        <v>85.3</v>
      </c>
      <c r="F21" s="20">
        <v>79.3</v>
      </c>
      <c r="G21" s="20">
        <v>114.9</v>
      </c>
      <c r="H21" s="20">
        <v>143</v>
      </c>
    </row>
    <row r="22" spans="3:8" x14ac:dyDescent="0.3">
      <c r="C22" s="20" t="s">
        <v>46</v>
      </c>
      <c r="D22" s="20">
        <v>55.6</v>
      </c>
      <c r="E22" s="20">
        <v>91.1</v>
      </c>
      <c r="F22" s="20">
        <v>0.3</v>
      </c>
      <c r="G22" s="20">
        <v>15.6</v>
      </c>
      <c r="H22" s="20">
        <v>139.5</v>
      </c>
    </row>
    <row r="23" spans="3:8" ht="15" thickBot="1" x14ac:dyDescent="0.35">
      <c r="C23" s="20" t="s">
        <v>47</v>
      </c>
      <c r="D23" s="20">
        <v>123.9</v>
      </c>
      <c r="E23" s="20">
        <v>129</v>
      </c>
      <c r="F23" s="20">
        <v>172.2</v>
      </c>
      <c r="G23" s="20">
        <v>219.2</v>
      </c>
      <c r="H23" s="20">
        <v>382.3</v>
      </c>
    </row>
    <row r="24" spans="3:8" ht="15" thickBot="1" x14ac:dyDescent="0.35">
      <c r="C24" s="21" t="s">
        <v>48</v>
      </c>
      <c r="D24" s="21">
        <v>6330.4</v>
      </c>
      <c r="E24" s="21">
        <v>8369.5</v>
      </c>
      <c r="F24" s="21">
        <v>10737.9</v>
      </c>
      <c r="G24" s="21">
        <v>12939.6</v>
      </c>
      <c r="H24" s="21">
        <v>17520.3</v>
      </c>
    </row>
    <row r="25" spans="3:8" x14ac:dyDescent="0.3">
      <c r="C25" s="20"/>
      <c r="D25" s="20"/>
      <c r="E25" s="20"/>
      <c r="F25" s="20"/>
      <c r="G25" s="20"/>
      <c r="H25" s="20"/>
    </row>
    <row r="26" spans="3:8" x14ac:dyDescent="0.3">
      <c r="C26" s="24" t="s">
        <v>49</v>
      </c>
      <c r="D26" s="20">
        <f>D27+D28</f>
        <v>372.79999999999995</v>
      </c>
      <c r="E26" s="20">
        <f t="shared" ref="E26:H26" si="1">E27+E28</f>
        <v>727.7</v>
      </c>
      <c r="F26" s="20">
        <f t="shared" si="1"/>
        <v>500.2</v>
      </c>
      <c r="G26" s="20">
        <f t="shared" si="1"/>
        <v>1328.6</v>
      </c>
      <c r="H26" s="20">
        <f t="shared" si="1"/>
        <v>2456.6</v>
      </c>
    </row>
    <row r="27" spans="3:8" x14ac:dyDescent="0.3">
      <c r="C27" s="20" t="s">
        <v>50</v>
      </c>
      <c r="D27" s="20">
        <v>0.5</v>
      </c>
      <c r="E27" s="20">
        <v>0.1</v>
      </c>
      <c r="F27" s="20">
        <v>0.7</v>
      </c>
      <c r="G27" s="20">
        <v>2.8</v>
      </c>
      <c r="H27" s="20">
        <v>52.1</v>
      </c>
    </row>
    <row r="28" spans="3:8" x14ac:dyDescent="0.3">
      <c r="C28" s="24" t="s">
        <v>51</v>
      </c>
      <c r="D28" s="20">
        <f>D31+D29</f>
        <v>372.29999999999995</v>
      </c>
      <c r="E28" s="20">
        <f t="shared" ref="E28:H28" si="2">E31+E29</f>
        <v>727.6</v>
      </c>
      <c r="F28" s="20">
        <f t="shared" si="2"/>
        <v>499.5</v>
      </c>
      <c r="G28" s="20">
        <f t="shared" si="2"/>
        <v>1325.8</v>
      </c>
      <c r="H28" s="20">
        <f t="shared" si="2"/>
        <v>2404.5</v>
      </c>
    </row>
    <row r="29" spans="3:8" x14ac:dyDescent="0.3">
      <c r="C29" s="20" t="s">
        <v>52</v>
      </c>
      <c r="D29" s="20">
        <v>118.1</v>
      </c>
      <c r="E29" s="20">
        <v>158</v>
      </c>
      <c r="F29" s="20">
        <v>177.9</v>
      </c>
      <c r="G29" s="20">
        <v>477.3</v>
      </c>
      <c r="H29" s="20">
        <v>865.1</v>
      </c>
    </row>
    <row r="30" spans="3:8" ht="15" thickBot="1" x14ac:dyDescent="0.35">
      <c r="C30" s="20"/>
      <c r="D30" s="20"/>
      <c r="E30" s="20"/>
      <c r="F30" s="20"/>
      <c r="G30" s="20"/>
      <c r="H30" s="20"/>
    </row>
    <row r="31" spans="3:8" ht="15" thickBot="1" x14ac:dyDescent="0.35">
      <c r="C31" s="25" t="s">
        <v>53</v>
      </c>
      <c r="D31" s="25">
        <v>254.2</v>
      </c>
      <c r="E31" s="25">
        <v>569.6</v>
      </c>
      <c r="F31" s="25">
        <v>321.60000000000002</v>
      </c>
      <c r="G31" s="25">
        <v>848.5</v>
      </c>
      <c r="H31" s="25">
        <v>1539.4</v>
      </c>
    </row>
    <row r="36" spans="3:8" ht="21" x14ac:dyDescent="0.4">
      <c r="C36" s="89" t="s">
        <v>85</v>
      </c>
      <c r="D36" s="89"/>
      <c r="E36" s="89"/>
      <c r="F36" s="89"/>
      <c r="G36" s="89"/>
      <c r="H36" s="89"/>
    </row>
    <row r="37" spans="3:8" ht="15" thickBot="1" x14ac:dyDescent="0.35"/>
    <row r="38" spans="3:8" x14ac:dyDescent="0.3">
      <c r="C38" s="19" t="s">
        <v>31</v>
      </c>
      <c r="D38" s="19">
        <v>2015</v>
      </c>
      <c r="E38" s="19">
        <v>2016</v>
      </c>
      <c r="F38" s="19">
        <v>2017</v>
      </c>
      <c r="G38" s="19">
        <v>2018</v>
      </c>
      <c r="H38" s="63">
        <v>2019</v>
      </c>
    </row>
    <row r="39" spans="3:8" x14ac:dyDescent="0.3">
      <c r="C39" s="20" t="s">
        <v>32</v>
      </c>
      <c r="D39" s="65">
        <f t="shared" ref="D39:H40" si="3">D7/D$9</f>
        <v>0.88766212070588957</v>
      </c>
      <c r="E39" s="65">
        <f t="shared" si="3"/>
        <v>0.88757257442024362</v>
      </c>
      <c r="F39" s="65">
        <f t="shared" si="3"/>
        <v>0.90814232108142323</v>
      </c>
      <c r="G39" s="65">
        <f t="shared" si="3"/>
        <v>0.88593062133288858</v>
      </c>
      <c r="H39" s="61">
        <f t="shared" si="3"/>
        <v>0.86761596457446866</v>
      </c>
    </row>
    <row r="40" spans="3:8" ht="15" thickBot="1" x14ac:dyDescent="0.35">
      <c r="C40" s="20" t="s">
        <v>33</v>
      </c>
      <c r="D40" s="65">
        <f t="shared" si="3"/>
        <v>0.1123378792941105</v>
      </c>
      <c r="E40" s="65">
        <f t="shared" ref="E40:H40" si="4">E8/E$9</f>
        <v>0.11242742557975635</v>
      </c>
      <c r="F40" s="65">
        <f t="shared" si="4"/>
        <v>9.1857678918576782E-2</v>
      </c>
      <c r="G40" s="65">
        <f t="shared" si="4"/>
        <v>0.11406937866711149</v>
      </c>
      <c r="H40" s="61">
        <f t="shared" si="4"/>
        <v>0.13238403542553134</v>
      </c>
    </row>
    <row r="41" spans="3:8" ht="15" thickBot="1" x14ac:dyDescent="0.35">
      <c r="C41" s="64" t="s">
        <v>34</v>
      </c>
      <c r="D41" s="66">
        <f>D9/D$9</f>
        <v>1</v>
      </c>
      <c r="E41" s="66">
        <f t="shared" ref="E41:H41" si="5">E9/E$9</f>
        <v>1</v>
      </c>
      <c r="F41" s="66">
        <f t="shared" si="5"/>
        <v>1</v>
      </c>
      <c r="G41" s="66">
        <f t="shared" si="5"/>
        <v>1</v>
      </c>
      <c r="H41" s="58">
        <f t="shared" si="5"/>
        <v>1</v>
      </c>
    </row>
    <row r="42" spans="3:8" ht="15" thickBot="1" x14ac:dyDescent="0.35">
      <c r="C42" s="20"/>
      <c r="D42" s="65"/>
      <c r="E42" s="65"/>
      <c r="F42" s="65"/>
      <c r="G42" s="65"/>
      <c r="H42" s="61"/>
    </row>
    <row r="43" spans="3:8" x14ac:dyDescent="0.3">
      <c r="C43" s="60" t="s">
        <v>35</v>
      </c>
      <c r="D43" s="67"/>
      <c r="E43" s="67"/>
      <c r="F43" s="67"/>
      <c r="G43" s="67"/>
      <c r="H43" s="62"/>
    </row>
    <row r="44" spans="3:8" x14ac:dyDescent="0.3">
      <c r="C44" s="20" t="s">
        <v>36</v>
      </c>
      <c r="D44" s="65">
        <f t="shared" ref="D44:H63" si="6">D12/D$9</f>
        <v>7.6056252467879601E-2</v>
      </c>
      <c r="E44" s="65">
        <f t="shared" si="6"/>
        <v>4.8304639169491334E-2</v>
      </c>
      <c r="F44" s="65">
        <f t="shared" si="6"/>
        <v>4.0896966408969664E-2</v>
      </c>
      <c r="G44" s="65">
        <f t="shared" si="6"/>
        <v>7.6116361210028932E-2</v>
      </c>
      <c r="H44" s="61">
        <f t="shared" si="6"/>
        <v>9.0526083831329984E-2</v>
      </c>
    </row>
    <row r="45" spans="3:8" x14ac:dyDescent="0.3">
      <c r="C45" s="20" t="s">
        <v>37</v>
      </c>
      <c r="D45" s="65">
        <f t="shared" si="6"/>
        <v>2.8399599064483794E-2</v>
      </c>
      <c r="E45" s="65">
        <f t="shared" si="6"/>
        <v>2.3100759584298195E-2</v>
      </c>
      <c r="F45" s="65">
        <f t="shared" si="6"/>
        <v>2.6230842262308426E-2</v>
      </c>
      <c r="G45" s="65">
        <f t="shared" si="6"/>
        <v>2.3621818814775059E-2</v>
      </c>
      <c r="H45" s="61">
        <f t="shared" si="6"/>
        <v>2.3447378500186255E-2</v>
      </c>
    </row>
    <row r="46" spans="3:8" x14ac:dyDescent="0.3">
      <c r="C46" s="20" t="s">
        <v>38</v>
      </c>
      <c r="D46" s="65">
        <f t="shared" si="6"/>
        <v>2.0198645323937672E-3</v>
      </c>
      <c r="E46" s="65">
        <f t="shared" si="6"/>
        <v>2.147867234956539E-3</v>
      </c>
      <c r="F46" s="65">
        <f t="shared" si="6"/>
        <v>2.0796600207966002E-3</v>
      </c>
      <c r="G46" s="65">
        <f t="shared" si="6"/>
        <v>1.8711787700988534E-3</v>
      </c>
      <c r="H46" s="61">
        <f t="shared" si="6"/>
        <v>1.7733752367560872E-3</v>
      </c>
    </row>
    <row r="47" spans="3:8" x14ac:dyDescent="0.3">
      <c r="C47" s="20" t="s">
        <v>39</v>
      </c>
      <c r="D47" s="65">
        <f t="shared" si="6"/>
        <v>0.59153175591531748</v>
      </c>
      <c r="E47" s="65">
        <f t="shared" si="6"/>
        <v>0.60468056068284282</v>
      </c>
      <c r="F47" s="65">
        <f t="shared" si="6"/>
        <v>0.64662959446629587</v>
      </c>
      <c r="G47" s="65">
        <f t="shared" si="6"/>
        <v>0.56243427303254256</v>
      </c>
      <c r="H47" s="61">
        <f t="shared" si="6"/>
        <v>0.51020740095594364</v>
      </c>
    </row>
    <row r="48" spans="3:8" x14ac:dyDescent="0.3">
      <c r="C48" s="20" t="s">
        <v>40</v>
      </c>
      <c r="D48" s="65">
        <f t="shared" si="6"/>
        <v>1.670564650851988E-4</v>
      </c>
      <c r="E48" s="65">
        <f t="shared" si="6"/>
        <v>8.7257106420109403E-4</v>
      </c>
      <c r="F48" s="65">
        <f t="shared" si="6"/>
        <v>6.6910800669108005E-4</v>
      </c>
      <c r="G48" s="65">
        <f t="shared" si="6"/>
        <v>7.1075782740189007E-4</v>
      </c>
      <c r="H48" s="61">
        <f t="shared" si="6"/>
        <v>3.987470946552149E-4</v>
      </c>
    </row>
    <row r="49" spans="3:8" x14ac:dyDescent="0.3">
      <c r="C49" s="20" t="s">
        <v>41</v>
      </c>
      <c r="D49" s="65">
        <f t="shared" si="6"/>
        <v>0</v>
      </c>
      <c r="E49" s="65">
        <f t="shared" si="6"/>
        <v>0</v>
      </c>
      <c r="F49" s="65">
        <f t="shared" si="6"/>
        <v>0</v>
      </c>
      <c r="G49" s="65">
        <f t="shared" si="6"/>
        <v>0</v>
      </c>
      <c r="H49" s="61">
        <f t="shared" si="6"/>
        <v>0</v>
      </c>
    </row>
    <row r="50" spans="3:8" x14ac:dyDescent="0.3">
      <c r="C50" s="20" t="s">
        <v>42</v>
      </c>
      <c r="D50" s="65">
        <f t="shared" si="6"/>
        <v>5.011693952555964E-3</v>
      </c>
      <c r="E50" s="65">
        <f t="shared" si="6"/>
        <v>5.7612063854303001E-3</v>
      </c>
      <c r="F50" s="65">
        <f t="shared" si="6"/>
        <v>5.5517880555178804E-3</v>
      </c>
      <c r="G50" s="65">
        <f t="shared" si="6"/>
        <v>5.6933152501069759E-3</v>
      </c>
      <c r="H50" s="61">
        <f t="shared" si="6"/>
        <v>5.4460458454225404E-2</v>
      </c>
    </row>
    <row r="51" spans="3:8" x14ac:dyDescent="0.3">
      <c r="C51" s="20" t="s">
        <v>43</v>
      </c>
      <c r="D51" s="65">
        <f t="shared" si="6"/>
        <v>9.9793457461349211E-2</v>
      </c>
      <c r="E51" s="65">
        <f t="shared" si="6"/>
        <v>9.6128245572820514E-2</v>
      </c>
      <c r="F51" s="65">
        <f t="shared" si="6"/>
        <v>0.11095438310954382</v>
      </c>
      <c r="G51" s="65">
        <f t="shared" si="6"/>
        <v>0.13341939788658336</v>
      </c>
      <c r="H51" s="61">
        <f t="shared" si="6"/>
        <v>9.0510343814435693E-2</v>
      </c>
    </row>
    <row r="52" spans="3:8" x14ac:dyDescent="0.3">
      <c r="C52" s="20" t="s">
        <v>44</v>
      </c>
      <c r="D52" s="65">
        <f t="shared" si="6"/>
        <v>0.12123743279774017</v>
      </c>
      <c r="E52" s="65">
        <f t="shared" si="6"/>
        <v>0.1211195757962211</v>
      </c>
      <c r="F52" s="65">
        <f t="shared" si="6"/>
        <v>0.1151408291514083</v>
      </c>
      <c r="G52" s="65">
        <f t="shared" si="6"/>
        <v>0.10923187386224352</v>
      </c>
      <c r="H52" s="61">
        <f t="shared" si="6"/>
        <v>0.11302906131785916</v>
      </c>
    </row>
    <row r="53" spans="3:8" x14ac:dyDescent="0.3">
      <c r="C53" s="20" t="s">
        <v>45</v>
      </c>
      <c r="D53" s="65">
        <f t="shared" si="6"/>
        <v>9.9170792455122551E-3</v>
      </c>
      <c r="E53" s="65">
        <f t="shared" si="6"/>
        <v>9.5423476636350407E-3</v>
      </c>
      <c r="F53" s="65">
        <f t="shared" si="6"/>
        <v>7.1703060717030606E-3</v>
      </c>
      <c r="G53" s="65">
        <f t="shared" si="6"/>
        <v>8.3332728947425674E-3</v>
      </c>
      <c r="H53" s="61">
        <f t="shared" si="6"/>
        <v>7.5027413862757547E-3</v>
      </c>
    </row>
    <row r="54" spans="3:8" x14ac:dyDescent="0.3">
      <c r="C54" s="20" t="s">
        <v>46</v>
      </c>
      <c r="D54" s="65">
        <f t="shared" si="6"/>
        <v>8.4439449624882298E-3</v>
      </c>
      <c r="E54" s="65">
        <f t="shared" si="6"/>
        <v>1.0191182557528163E-2</v>
      </c>
      <c r="F54" s="65">
        <f t="shared" si="6"/>
        <v>2.7126000271260002E-5</v>
      </c>
      <c r="G54" s="65">
        <f t="shared" si="6"/>
        <v>1.1314104191295392E-3</v>
      </c>
      <c r="H54" s="61">
        <f t="shared" si="6"/>
        <v>7.3191078558424317E-3</v>
      </c>
    </row>
    <row r="55" spans="3:8" ht="15" thickBot="1" x14ac:dyDescent="0.35">
      <c r="C55" s="20" t="s">
        <v>47</v>
      </c>
      <c r="D55" s="65">
        <f t="shared" si="6"/>
        <v>1.8816632749141936E-2</v>
      </c>
      <c r="E55" s="65">
        <f t="shared" si="6"/>
        <v>1.4430982984864248E-2</v>
      </c>
      <c r="F55" s="65">
        <f t="shared" si="6"/>
        <v>1.557032415570324E-2</v>
      </c>
      <c r="G55" s="65">
        <f t="shared" si="6"/>
        <v>1.5897766914948396E-2</v>
      </c>
      <c r="H55" s="61">
        <f t="shared" si="6"/>
        <v>2.0058028195616931E-2</v>
      </c>
    </row>
    <row r="56" spans="3:8" ht="15" thickBot="1" x14ac:dyDescent="0.35">
      <c r="C56" s="21" t="s">
        <v>48</v>
      </c>
      <c r="D56" s="66">
        <f t="shared" si="6"/>
        <v>0.96139476961394754</v>
      </c>
      <c r="E56" s="66">
        <f t="shared" si="6"/>
        <v>0.93627993869628934</v>
      </c>
      <c r="F56" s="66">
        <f t="shared" si="6"/>
        <v>0.97092092770920924</v>
      </c>
      <c r="G56" s="66">
        <f t="shared" si="6"/>
        <v>0.9384614268826017</v>
      </c>
      <c r="H56" s="58">
        <f t="shared" si="6"/>
        <v>0.9192327266431265</v>
      </c>
    </row>
    <row r="57" spans="3:8" x14ac:dyDescent="0.3">
      <c r="C57" s="20"/>
      <c r="D57" s="65"/>
      <c r="E57" s="65"/>
      <c r="F57" s="65"/>
      <c r="G57" s="65"/>
      <c r="H57" s="61"/>
    </row>
    <row r="58" spans="3:8" x14ac:dyDescent="0.3">
      <c r="C58" s="24" t="s">
        <v>49</v>
      </c>
      <c r="D58" s="65">
        <f t="shared" si="6"/>
        <v>5.6616954712510999E-2</v>
      </c>
      <c r="E58" s="65">
        <f t="shared" si="6"/>
        <v>8.1406405566555914E-2</v>
      </c>
      <c r="F58" s="65">
        <f t="shared" si="6"/>
        <v>4.5228084452280846E-2</v>
      </c>
      <c r="G58" s="65">
        <f t="shared" si="6"/>
        <v>9.6358454029199084E-2</v>
      </c>
      <c r="H58" s="61">
        <f t="shared" si="6"/>
        <v>0.12888975167500011</v>
      </c>
    </row>
    <row r="59" spans="3:8" x14ac:dyDescent="0.3">
      <c r="C59" s="20" t="s">
        <v>50</v>
      </c>
      <c r="D59" s="65">
        <f t="shared" si="6"/>
        <v>7.5934756856908535E-5</v>
      </c>
      <c r="E59" s="65">
        <f t="shared" si="6"/>
        <v>1.1186808515398642E-5</v>
      </c>
      <c r="F59" s="65">
        <f t="shared" si="6"/>
        <v>6.3294000632939997E-5</v>
      </c>
      <c r="G59" s="65">
        <f t="shared" si="6"/>
        <v>2.0307366497196856E-4</v>
      </c>
      <c r="H59" s="61">
        <f t="shared" si="6"/>
        <v>2.7335162673074601E-3</v>
      </c>
    </row>
    <row r="60" spans="3:8" x14ac:dyDescent="0.3">
      <c r="C60" s="24" t="s">
        <v>51</v>
      </c>
      <c r="D60" s="65">
        <f t="shared" si="6"/>
        <v>5.6541019955654089E-2</v>
      </c>
      <c r="E60" s="65">
        <f t="shared" si="6"/>
        <v>8.1395218758040525E-2</v>
      </c>
      <c r="F60" s="65">
        <f t="shared" si="6"/>
        <v>4.5164790451647903E-2</v>
      </c>
      <c r="G60" s="65">
        <f t="shared" si="6"/>
        <v>9.6155380364227119E-2</v>
      </c>
      <c r="H60" s="61">
        <f t="shared" si="6"/>
        <v>0.12615623540769266</v>
      </c>
    </row>
    <row r="61" spans="3:8" x14ac:dyDescent="0.3">
      <c r="C61" s="20" t="s">
        <v>52</v>
      </c>
      <c r="D61" s="65">
        <f t="shared" si="6"/>
        <v>1.7935789569601797E-2</v>
      </c>
      <c r="E61" s="65">
        <f t="shared" si="6"/>
        <v>1.7675157454329852E-2</v>
      </c>
      <c r="F61" s="65">
        <f t="shared" si="6"/>
        <v>1.6085718160857181E-2</v>
      </c>
      <c r="G61" s="65">
        <f t="shared" si="6"/>
        <v>3.4616807246828786E-2</v>
      </c>
      <c r="H61" s="61">
        <f t="shared" si="6"/>
        <v>4.538896205081927E-2</v>
      </c>
    </row>
    <row r="62" spans="3:8" ht="15" thickBot="1" x14ac:dyDescent="0.35">
      <c r="C62" s="20"/>
      <c r="D62" s="65"/>
      <c r="E62" s="65"/>
      <c r="F62" s="65"/>
      <c r="G62" s="65"/>
      <c r="H62" s="61"/>
    </row>
    <row r="63" spans="3:8" ht="15" thickBot="1" x14ac:dyDescent="0.35">
      <c r="C63" s="25" t="s">
        <v>53</v>
      </c>
      <c r="D63" s="68">
        <f t="shared" si="6"/>
        <v>3.8605230386052299E-2</v>
      </c>
      <c r="E63" s="68">
        <f t="shared" si="6"/>
        <v>6.3720061303710662E-2</v>
      </c>
      <c r="F63" s="68">
        <f t="shared" si="6"/>
        <v>2.9079072290790726E-2</v>
      </c>
      <c r="G63" s="68">
        <f t="shared" si="6"/>
        <v>6.1538573117398333E-2</v>
      </c>
      <c r="H63" s="59">
        <f t="shared" si="6"/>
        <v>8.0767273356873406E-2</v>
      </c>
    </row>
  </sheetData>
  <mergeCells count="2">
    <mergeCell ref="C4:H4"/>
    <mergeCell ref="C36:H3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223D4-9E43-42B6-A758-FA89E26CE9DC}">
  <sheetPr codeName="Sheet7"/>
  <dimension ref="E5:J20"/>
  <sheetViews>
    <sheetView tabSelected="1" topLeftCell="C3" zoomScale="80" workbookViewId="0">
      <selection activeCell="O8" sqref="O8"/>
    </sheetView>
  </sheetViews>
  <sheetFormatPr defaultRowHeight="14.4" x14ac:dyDescent="0.3"/>
  <cols>
    <col min="5" max="5" width="20.44140625" bestFit="1" customWidth="1"/>
    <col min="6" max="10" width="12.88671875" customWidth="1"/>
  </cols>
  <sheetData>
    <row r="5" spans="5:10" ht="18.600000000000001" thickBot="1" x14ac:dyDescent="0.4">
      <c r="G5" s="90" t="s">
        <v>78</v>
      </c>
      <c r="H5" s="90"/>
    </row>
    <row r="6" spans="5:10" x14ac:dyDescent="0.3">
      <c r="E6" s="74"/>
      <c r="F6" s="75">
        <v>2015</v>
      </c>
      <c r="G6" s="75">
        <v>2016</v>
      </c>
      <c r="H6" s="75">
        <v>2017</v>
      </c>
      <c r="I6" s="75">
        <v>2018</v>
      </c>
      <c r="J6" s="76">
        <v>2019</v>
      </c>
    </row>
    <row r="7" spans="5:10" x14ac:dyDescent="0.3">
      <c r="E7" s="79" t="s">
        <v>72</v>
      </c>
      <c r="F7" s="77">
        <f>current_ratio(BS!D22,BS!D40)</f>
        <v>1.5236727464215616</v>
      </c>
      <c r="G7" s="77">
        <f>current_ratio(BS!E22,BS!E40)</f>
        <v>2.6009021284593334</v>
      </c>
      <c r="H7" s="77">
        <f>current_ratio(BS!F22,BS!F40)</f>
        <v>1.6589479371695419</v>
      </c>
      <c r="I7" s="77">
        <f>current_ratio(BS!G22,BS!G40)</f>
        <v>1.5025253200074826</v>
      </c>
      <c r="J7" s="80">
        <f>current_ratio(BS!H22,BS!H40)</f>
        <v>1.8944527084621685</v>
      </c>
    </row>
    <row r="8" spans="5:10" ht="15" thickBot="1" x14ac:dyDescent="0.35">
      <c r="E8" s="71" t="s">
        <v>73</v>
      </c>
      <c r="F8" s="72">
        <f>net_working_capital(BS!D22,BS!D40)</f>
        <v>1093.9000000000001</v>
      </c>
      <c r="G8" s="72">
        <f>net_working_capital(BS!E22,BS!E40)</f>
        <v>3407.2</v>
      </c>
      <c r="H8" s="72">
        <f>net_working_capital(BS!F22,BS!F40)</f>
        <v>1707.4</v>
      </c>
      <c r="I8" s="72">
        <f>net_working_capital(BS!G22,BS!G40)</f>
        <v>1880.5000000000005</v>
      </c>
      <c r="J8" s="73">
        <f>net_working_capital(BS!H22,BS!H40)</f>
        <v>5351.6</v>
      </c>
    </row>
    <row r="9" spans="5:10" x14ac:dyDescent="0.3">
      <c r="E9" s="35"/>
    </row>
    <row r="10" spans="5:10" x14ac:dyDescent="0.3">
      <c r="E10" s="35"/>
    </row>
    <row r="11" spans="5:10" ht="18.600000000000001" thickBot="1" x14ac:dyDescent="0.4">
      <c r="E11" s="35"/>
      <c r="G11" s="90" t="s">
        <v>79</v>
      </c>
      <c r="H11" s="90"/>
    </row>
    <row r="12" spans="5:10" x14ac:dyDescent="0.3">
      <c r="E12" s="78"/>
      <c r="F12" s="75">
        <v>2015</v>
      </c>
      <c r="G12" s="75">
        <v>2016</v>
      </c>
      <c r="H12" s="75">
        <v>2017</v>
      </c>
      <c r="I12" s="75">
        <v>2018</v>
      </c>
      <c r="J12" s="76">
        <v>2019</v>
      </c>
    </row>
    <row r="13" spans="5:10" x14ac:dyDescent="0.3">
      <c r="E13" s="79" t="s">
        <v>74</v>
      </c>
      <c r="F13" s="77">
        <f>net_profit_ratio('P&amp;L'!D31,'P&amp;L'!D9)</f>
        <v>3.8605230386052299E-2</v>
      </c>
      <c r="G13" s="77">
        <f>net_profit_ratio('P&amp;L'!E31,'P&amp;L'!E9)</f>
        <v>6.3720061303710662E-2</v>
      </c>
      <c r="H13" s="77">
        <f>net_profit_ratio('P&amp;L'!F31,'P&amp;L'!F9)</f>
        <v>2.9079072290790726E-2</v>
      </c>
      <c r="I13" s="77">
        <f>net_profit_ratio('P&amp;L'!G31,'P&amp;L'!G9)</f>
        <v>6.1538573117398333E-2</v>
      </c>
      <c r="J13" s="80">
        <f>net_profit_ratio('P&amp;L'!H31,'P&amp;L'!H9)</f>
        <v>8.0767273356873406E-2</v>
      </c>
    </row>
    <row r="14" spans="5:10" ht="15" thickBot="1" x14ac:dyDescent="0.35">
      <c r="E14" s="71" t="s">
        <v>75</v>
      </c>
      <c r="F14" s="72">
        <f>EBIDTA('P&amp;L'!D26,'P&amp;L'!D23,'P&amp;L'!D22)</f>
        <v>552.30000000000007</v>
      </c>
      <c r="G14" s="72">
        <f>EBIDTA('P&amp;L'!E26,'P&amp;L'!E23,'P&amp;L'!E22)</f>
        <v>947.80000000000007</v>
      </c>
      <c r="H14" s="72">
        <f>EBIDTA('P&amp;L'!F26,'P&amp;L'!F23,'P&amp;L'!F22)</f>
        <v>672.69999999999993</v>
      </c>
      <c r="I14" s="72">
        <f>EBIDTA('P&amp;L'!G26,'P&amp;L'!G23,'P&amp;L'!G22)</f>
        <v>1563.3999999999999</v>
      </c>
      <c r="J14" s="73">
        <f>EBIDTA('P&amp;L'!H26,'P&amp;L'!H23,'P&amp;L'!H22)</f>
        <v>2978.4</v>
      </c>
    </row>
    <row r="15" spans="5:10" x14ac:dyDescent="0.3">
      <c r="E15" s="35"/>
    </row>
    <row r="16" spans="5:10" x14ac:dyDescent="0.3">
      <c r="E16" s="35"/>
    </row>
    <row r="17" spans="5:10" ht="18.600000000000001" thickBot="1" x14ac:dyDescent="0.4">
      <c r="E17" s="35"/>
      <c r="G17" s="90" t="s">
        <v>80</v>
      </c>
      <c r="H17" s="90"/>
    </row>
    <row r="18" spans="5:10" x14ac:dyDescent="0.3">
      <c r="E18" s="78"/>
      <c r="F18" s="75">
        <v>2015</v>
      </c>
      <c r="G18" s="75">
        <v>2016</v>
      </c>
      <c r="H18" s="75">
        <v>2017</v>
      </c>
      <c r="I18" s="75">
        <v>2018</v>
      </c>
      <c r="J18" s="76">
        <v>2019</v>
      </c>
    </row>
    <row r="19" spans="5:10" x14ac:dyDescent="0.3">
      <c r="E19" s="79" t="s">
        <v>76</v>
      </c>
      <c r="F19" s="77">
        <f>interest_coverage_ratio('P&amp;L'!D26,'P&amp;L'!D22)</f>
        <v>7.7050359712230216</v>
      </c>
      <c r="G19" s="77">
        <f>interest_coverage_ratio('P&amp;L'!E26,'P&amp;L'!E22)</f>
        <v>8.987925356750825</v>
      </c>
      <c r="H19" s="77">
        <f>interest_coverage_ratio('P&amp;L'!F26,'P&amp;L'!F22)</f>
        <v>1668.3333333333335</v>
      </c>
      <c r="I19" s="77">
        <f>interest_coverage_ratio('P&amp;L'!G26,'P&amp;L'!G22)</f>
        <v>86.166666666666657</v>
      </c>
      <c r="J19" s="80">
        <f>interest_coverage_ratio('P&amp;L'!H26,'P&amp;L'!H22)</f>
        <v>18.610035842293907</v>
      </c>
    </row>
    <row r="20" spans="5:10" ht="15" thickBot="1" x14ac:dyDescent="0.35">
      <c r="E20" s="71" t="s">
        <v>77</v>
      </c>
      <c r="F20" s="72">
        <f>net_worth(BS!D28,BS!D29)</f>
        <v>912.7</v>
      </c>
      <c r="G20" s="72">
        <f>net_worth(BS!E28,BS!E29)</f>
        <v>1482.3</v>
      </c>
      <c r="H20" s="72">
        <f>net_worth(BS!F28,BS!F29)</f>
        <v>1803.9</v>
      </c>
      <c r="I20" s="72">
        <f>net_worth(BS!G28,BS!G29)</f>
        <v>2244.9</v>
      </c>
      <c r="J20" s="73">
        <f>net_worth(BS!H28,BS!H29)</f>
        <v>3757.1</v>
      </c>
    </row>
  </sheetData>
  <mergeCells count="3">
    <mergeCell ref="G5:H5"/>
    <mergeCell ref="G11:H11"/>
    <mergeCell ref="G17:H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BS</vt:lpstr>
      <vt:lpstr>P&amp;L</vt:lpstr>
      <vt:lpstr>Summary</vt:lpstr>
      <vt:lpstr>Horizontal(trend) Analysis</vt:lpstr>
      <vt:lpstr>BS Vertical Analysis</vt:lpstr>
      <vt:lpstr>P&amp;L Vertical Analysis</vt:lpstr>
      <vt:lpstr>Ratio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</dc:creator>
  <cp:lastModifiedBy>Siddharth</cp:lastModifiedBy>
  <dcterms:created xsi:type="dcterms:W3CDTF">2023-04-27T09:35:00Z</dcterms:created>
  <dcterms:modified xsi:type="dcterms:W3CDTF">2023-04-28T07:56:31Z</dcterms:modified>
</cp:coreProperties>
</file>